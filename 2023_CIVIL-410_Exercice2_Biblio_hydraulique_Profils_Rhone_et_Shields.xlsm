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nac1files\pl-lch\Commun\_gest_doc_lch\03-Enseignement\01-Cours\ENAC_BA_MA\CIVIL-410_MA_HydrFluv\Exercices_TP\DeCesare\2023\Enonce\"/>
    </mc:Choice>
  </mc:AlternateContent>
  <xr:revisionPtr revIDLastSave="0" documentId="13_ncr:1_{E536CF5F-6BFD-4172-BD8D-8473D567DC8B}" xr6:coauthVersionLast="47" xr6:coauthVersionMax="47" xr10:uidLastSave="{00000000-0000-0000-0000-000000000000}"/>
  <bookViews>
    <workbookView xWindow="-108" yWindow="-108" windowWidth="30936" windowHeight="16848" firstSheet="1" activeTab="4" xr2:uid="{00000000-000D-0000-FFFF-FFFF00000000}"/>
  </bookViews>
  <sheets>
    <sheet name="biblio hydraulique" sheetId="1" state="veryHidden" r:id=""/>
    <sheet name="Rhone18.846" sheetId="10" r:id="rId1"/>
    <sheet name="Rhone18.947" sheetId="11" r:id="rId2"/>
    <sheet name="Granulométrie" sheetId="12" r:id="rId3"/>
    <sheet name="Shields" sheetId="9" r:id="rId4"/>
  </sheets>
  <functionGroups builtInGroupCount="19"/>
  <definedNames>
    <definedName name="_xlnm.Database">#REF!</definedName>
    <definedName name="H">#REF!</definedName>
    <definedName name="ks">#REF!</definedName>
    <definedName name="Long">#REF!</definedName>
    <definedName name="XZ_106">#REF!</definedName>
    <definedName name="XZ_107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9" l="1"/>
  <c r="C2" i="9" s="1"/>
  <c r="D2" i="9" s="1"/>
  <c r="F150" i="9"/>
  <c r="F151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B177" i="9"/>
  <c r="C177" i="9" s="1"/>
  <c r="D177" i="9" s="1"/>
  <c r="F176" i="9"/>
  <c r="B176" i="9"/>
  <c r="C176" i="9" s="1"/>
  <c r="F175" i="9"/>
  <c r="B175" i="9"/>
  <c r="C175" i="9" s="1"/>
  <c r="D175" i="9" s="1"/>
  <c r="F174" i="9"/>
  <c r="B174" i="9"/>
  <c r="F173" i="9"/>
  <c r="B173" i="9"/>
  <c r="C173" i="9" s="1"/>
  <c r="D173" i="9" s="1"/>
  <c r="F172" i="9"/>
  <c r="B172" i="9"/>
  <c r="F171" i="9"/>
  <c r="B171" i="9"/>
  <c r="C171" i="9" s="1"/>
  <c r="D171" i="9" s="1"/>
  <c r="F170" i="9"/>
  <c r="B170" i="9"/>
  <c r="F169" i="9"/>
  <c r="B169" i="9"/>
  <c r="C169" i="9" s="1"/>
  <c r="D169" i="9" s="1"/>
  <c r="F168" i="9"/>
  <c r="B168" i="9"/>
  <c r="F167" i="9"/>
  <c r="B167" i="9"/>
  <c r="C167" i="9" s="1"/>
  <c r="D167" i="9" s="1"/>
  <c r="F166" i="9"/>
  <c r="B166" i="9"/>
  <c r="C166" i="9" s="1"/>
  <c r="F165" i="9"/>
  <c r="B165" i="9"/>
  <c r="C165" i="9" s="1"/>
  <c r="D165" i="9" s="1"/>
  <c r="F164" i="9"/>
  <c r="B164" i="9"/>
  <c r="C164" i="9" s="1"/>
  <c r="F163" i="9"/>
  <c r="B163" i="9"/>
  <c r="C163" i="9" s="1"/>
  <c r="D163" i="9" s="1"/>
  <c r="F162" i="9"/>
  <c r="B162" i="9"/>
  <c r="C162" i="9" s="1"/>
  <c r="F161" i="9"/>
  <c r="B161" i="9"/>
  <c r="C161" i="9" s="1"/>
  <c r="D161" i="9" s="1"/>
  <c r="F160" i="9"/>
  <c r="B160" i="9"/>
  <c r="C160" i="9" s="1"/>
  <c r="F159" i="9"/>
  <c r="B159" i="9"/>
  <c r="C159" i="9" s="1"/>
  <c r="D159" i="9" s="1"/>
  <c r="F158" i="9"/>
  <c r="B158" i="9"/>
  <c r="F157" i="9"/>
  <c r="B157" i="9"/>
  <c r="C157" i="9" s="1"/>
  <c r="D157" i="9" s="1"/>
  <c r="F156" i="9"/>
  <c r="B156" i="9"/>
  <c r="F155" i="9"/>
  <c r="B155" i="9"/>
  <c r="C155" i="9" s="1"/>
  <c r="D155" i="9" s="1"/>
  <c r="F154" i="9"/>
  <c r="B154" i="9"/>
  <c r="F153" i="9"/>
  <c r="B153" i="9"/>
  <c r="C153" i="9" s="1"/>
  <c r="D153" i="9" s="1"/>
  <c r="F152" i="9"/>
  <c r="B152" i="9"/>
  <c r="B151" i="9"/>
  <c r="C151" i="9" s="1"/>
  <c r="D151" i="9" s="1"/>
  <c r="B150" i="9"/>
  <c r="C150" i="9" s="1"/>
  <c r="F149" i="9"/>
  <c r="B149" i="9"/>
  <c r="C149" i="9" s="1"/>
  <c r="D149" i="9" s="1"/>
  <c r="F148" i="9"/>
  <c r="B148" i="9"/>
  <c r="C148" i="9" s="1"/>
  <c r="F147" i="9"/>
  <c r="B147" i="9"/>
  <c r="C147" i="9" s="1"/>
  <c r="D147" i="9" s="1"/>
  <c r="F146" i="9"/>
  <c r="B146" i="9"/>
  <c r="C146" i="9" s="1"/>
  <c r="F145" i="9"/>
  <c r="B145" i="9"/>
  <c r="C145" i="9" s="1"/>
  <c r="D145" i="9" s="1"/>
  <c r="F144" i="9"/>
  <c r="B144" i="9"/>
  <c r="C144" i="9" s="1"/>
  <c r="F143" i="9"/>
  <c r="B143" i="9"/>
  <c r="C143" i="9" s="1"/>
  <c r="D143" i="9" s="1"/>
  <c r="F142" i="9"/>
  <c r="B142" i="9"/>
  <c r="F141" i="9"/>
  <c r="B141" i="9"/>
  <c r="C141" i="9" s="1"/>
  <c r="D141" i="9" s="1"/>
  <c r="F140" i="9"/>
  <c r="B140" i="9"/>
  <c r="F139" i="9"/>
  <c r="B139" i="9"/>
  <c r="C139" i="9" s="1"/>
  <c r="D139" i="9" s="1"/>
  <c r="F138" i="9"/>
  <c r="B138" i="9"/>
  <c r="F137" i="9"/>
  <c r="B137" i="9"/>
  <c r="F136" i="9"/>
  <c r="B136" i="9"/>
  <c r="F135" i="9"/>
  <c r="B135" i="9"/>
  <c r="F134" i="9"/>
  <c r="B134" i="9"/>
  <c r="C134" i="9" s="1"/>
  <c r="F133" i="9"/>
  <c r="B133" i="9"/>
  <c r="F132" i="9"/>
  <c r="B132" i="9"/>
  <c r="C132" i="9" s="1"/>
  <c r="F131" i="9"/>
  <c r="B131" i="9"/>
  <c r="F130" i="9"/>
  <c r="B130" i="9"/>
  <c r="C130" i="9" s="1"/>
  <c r="F129" i="9"/>
  <c r="B129" i="9"/>
  <c r="F128" i="9"/>
  <c r="B128" i="9"/>
  <c r="C128" i="9" s="1"/>
  <c r="F127" i="9"/>
  <c r="B127" i="9"/>
  <c r="F126" i="9"/>
  <c r="B126" i="9"/>
  <c r="F125" i="9"/>
  <c r="B125" i="9"/>
  <c r="F124" i="9"/>
  <c r="B124" i="9"/>
  <c r="F123" i="9"/>
  <c r="B123" i="9"/>
  <c r="F122" i="9"/>
  <c r="B122" i="9"/>
  <c r="F121" i="9"/>
  <c r="B121" i="9"/>
  <c r="F120" i="9"/>
  <c r="B120" i="9"/>
  <c r="F119" i="9"/>
  <c r="B119" i="9"/>
  <c r="F118" i="9"/>
  <c r="B118" i="9"/>
  <c r="C118" i="9" s="1"/>
  <c r="F117" i="9"/>
  <c r="B117" i="9"/>
  <c r="F116" i="9"/>
  <c r="B116" i="9"/>
  <c r="C116" i="9" s="1"/>
  <c r="F115" i="9"/>
  <c r="B115" i="9"/>
  <c r="F114" i="9"/>
  <c r="B114" i="9"/>
  <c r="C114" i="9" s="1"/>
  <c r="F113" i="9"/>
  <c r="B113" i="9"/>
  <c r="F112" i="9"/>
  <c r="B112" i="9"/>
  <c r="C112" i="9" s="1"/>
  <c r="F111" i="9"/>
  <c r="B111" i="9"/>
  <c r="F110" i="9"/>
  <c r="B110" i="9"/>
  <c r="F109" i="9"/>
  <c r="B109" i="9"/>
  <c r="F108" i="9"/>
  <c r="B108" i="9"/>
  <c r="F107" i="9"/>
  <c r="B107" i="9"/>
  <c r="F106" i="9"/>
  <c r="B106" i="9"/>
  <c r="F105" i="9"/>
  <c r="B105" i="9"/>
  <c r="F104" i="9"/>
  <c r="B104" i="9"/>
  <c r="F103" i="9"/>
  <c r="B103" i="9"/>
  <c r="F102" i="9"/>
  <c r="B102" i="9"/>
  <c r="C102" i="9" s="1"/>
  <c r="F101" i="9"/>
  <c r="B101" i="9"/>
  <c r="F100" i="9"/>
  <c r="B100" i="9"/>
  <c r="C100" i="9" s="1"/>
  <c r="F99" i="9"/>
  <c r="B99" i="9"/>
  <c r="F98" i="9"/>
  <c r="B98" i="9"/>
  <c r="C98" i="9" s="1"/>
  <c r="F97" i="9"/>
  <c r="B97" i="9"/>
  <c r="F96" i="9"/>
  <c r="B96" i="9"/>
  <c r="C96" i="9" s="1"/>
  <c r="F95" i="9"/>
  <c r="B95" i="9"/>
  <c r="F94" i="9"/>
  <c r="B94" i="9"/>
  <c r="F93" i="9"/>
  <c r="B93" i="9"/>
  <c r="F92" i="9"/>
  <c r="B92" i="9"/>
  <c r="F91" i="9"/>
  <c r="B91" i="9"/>
  <c r="F90" i="9"/>
  <c r="B90" i="9"/>
  <c r="C90" i="9" s="1"/>
  <c r="F89" i="9"/>
  <c r="B89" i="9"/>
  <c r="F88" i="9"/>
  <c r="B88" i="9"/>
  <c r="F87" i="9"/>
  <c r="B87" i="9"/>
  <c r="F86" i="9"/>
  <c r="B86" i="9"/>
  <c r="C86" i="9" s="1"/>
  <c r="F85" i="9"/>
  <c r="B85" i="9"/>
  <c r="F84" i="9"/>
  <c r="B84" i="9"/>
  <c r="C84" i="9" s="1"/>
  <c r="F83" i="9"/>
  <c r="B83" i="9"/>
  <c r="F82" i="9"/>
  <c r="B82" i="9"/>
  <c r="C82" i="9" s="1"/>
  <c r="F81" i="9"/>
  <c r="B81" i="9"/>
  <c r="F80" i="9"/>
  <c r="B80" i="9"/>
  <c r="C80" i="9" s="1"/>
  <c r="F79" i="9"/>
  <c r="B79" i="9"/>
  <c r="F78" i="9"/>
  <c r="B78" i="9"/>
  <c r="F77" i="9"/>
  <c r="B77" i="9"/>
  <c r="F76" i="9"/>
  <c r="B76" i="9"/>
  <c r="F75" i="9"/>
  <c r="B75" i="9"/>
  <c r="F74" i="9"/>
  <c r="B74" i="9"/>
  <c r="C74" i="9" s="1"/>
  <c r="F73" i="9"/>
  <c r="B73" i="9"/>
  <c r="F72" i="9"/>
  <c r="B72" i="9"/>
  <c r="F71" i="9"/>
  <c r="B71" i="9"/>
  <c r="F70" i="9"/>
  <c r="C70" i="9"/>
  <c r="B70" i="9"/>
  <c r="F69" i="9"/>
  <c r="B69" i="9"/>
  <c r="C69" i="9" s="1"/>
  <c r="F68" i="9"/>
  <c r="B68" i="9"/>
  <c r="C68" i="9" s="1"/>
  <c r="F67" i="9"/>
  <c r="B67" i="9"/>
  <c r="C67" i="9" s="1"/>
  <c r="F66" i="9"/>
  <c r="B66" i="9"/>
  <c r="F65" i="9"/>
  <c r="B65" i="9"/>
  <c r="C65" i="9" s="1"/>
  <c r="F64" i="9"/>
  <c r="B64" i="9"/>
  <c r="C64" i="9" s="1"/>
  <c r="F63" i="9"/>
  <c r="B63" i="9"/>
  <c r="C63" i="9" s="1"/>
  <c r="F62" i="9"/>
  <c r="B62" i="9"/>
  <c r="C62" i="9" s="1"/>
  <c r="F61" i="9"/>
  <c r="B61" i="9"/>
  <c r="C61" i="9" s="1"/>
  <c r="F60" i="9"/>
  <c r="B60" i="9"/>
  <c r="C60" i="9" s="1"/>
  <c r="F59" i="9"/>
  <c r="B59" i="9"/>
  <c r="C59" i="9" s="1"/>
  <c r="F58" i="9"/>
  <c r="B58" i="9"/>
  <c r="F57" i="9"/>
  <c r="B57" i="9"/>
  <c r="C57" i="9" s="1"/>
  <c r="F56" i="9"/>
  <c r="B56" i="9"/>
  <c r="C56" i="9" s="1"/>
  <c r="F55" i="9"/>
  <c r="B55" i="9"/>
  <c r="C55" i="9" s="1"/>
  <c r="F54" i="9"/>
  <c r="B54" i="9"/>
  <c r="C54" i="9" s="1"/>
  <c r="F53" i="9"/>
  <c r="B53" i="9"/>
  <c r="C53" i="9" s="1"/>
  <c r="F52" i="9"/>
  <c r="B52" i="9"/>
  <c r="C52" i="9" s="1"/>
  <c r="F51" i="9"/>
  <c r="B51" i="9"/>
  <c r="C51" i="9" s="1"/>
  <c r="F50" i="9"/>
  <c r="B50" i="9"/>
  <c r="F49" i="9"/>
  <c r="B49" i="9"/>
  <c r="C49" i="9" s="1"/>
  <c r="F48" i="9"/>
  <c r="B48" i="9"/>
  <c r="C48" i="9" s="1"/>
  <c r="F47" i="9"/>
  <c r="B47" i="9"/>
  <c r="C47" i="9" s="1"/>
  <c r="F46" i="9"/>
  <c r="B46" i="9"/>
  <c r="C46" i="9" s="1"/>
  <c r="F45" i="9"/>
  <c r="B45" i="9"/>
  <c r="C45" i="9" s="1"/>
  <c r="F44" i="9"/>
  <c r="B44" i="9"/>
  <c r="F43" i="9"/>
  <c r="B43" i="9"/>
  <c r="C43" i="9" s="1"/>
  <c r="F42" i="9"/>
  <c r="B42" i="9"/>
  <c r="F41" i="9"/>
  <c r="B41" i="9"/>
  <c r="C41" i="9" s="1"/>
  <c r="F40" i="9"/>
  <c r="B40" i="9"/>
  <c r="C40" i="9" s="1"/>
  <c r="F39" i="9"/>
  <c r="B39" i="9"/>
  <c r="C39" i="9" s="1"/>
  <c r="F38" i="9"/>
  <c r="B38" i="9"/>
  <c r="C38" i="9" s="1"/>
  <c r="F37" i="9"/>
  <c r="B37" i="9"/>
  <c r="C37" i="9" s="1"/>
  <c r="F36" i="9"/>
  <c r="B36" i="9"/>
  <c r="C36" i="9" s="1"/>
  <c r="F35" i="9"/>
  <c r="B35" i="9"/>
  <c r="C35" i="9" s="1"/>
  <c r="F34" i="9"/>
  <c r="B34" i="9"/>
  <c r="F33" i="9"/>
  <c r="B33" i="9"/>
  <c r="C33" i="9" s="1"/>
  <c r="D33" i="9" s="1"/>
  <c r="F32" i="9"/>
  <c r="B32" i="9"/>
  <c r="C32" i="9" s="1"/>
  <c r="F31" i="9"/>
  <c r="B31" i="9"/>
  <c r="C31" i="9" s="1"/>
  <c r="F30" i="9"/>
  <c r="B30" i="9"/>
  <c r="C30" i="9" s="1"/>
  <c r="F29" i="9"/>
  <c r="B29" i="9"/>
  <c r="C29" i="9" s="1"/>
  <c r="F28" i="9"/>
  <c r="B28" i="9"/>
  <c r="C28" i="9" s="1"/>
  <c r="F27" i="9"/>
  <c r="B27" i="9"/>
  <c r="C27" i="9" s="1"/>
  <c r="F26" i="9"/>
  <c r="B26" i="9"/>
  <c r="F25" i="9"/>
  <c r="B25" i="9"/>
  <c r="C25" i="9" s="1"/>
  <c r="F24" i="9"/>
  <c r="B24" i="9"/>
  <c r="C24" i="9" s="1"/>
  <c r="F23" i="9"/>
  <c r="B23" i="9"/>
  <c r="C23" i="9" s="1"/>
  <c r="F22" i="9"/>
  <c r="B22" i="9"/>
  <c r="C22" i="9" s="1"/>
  <c r="F21" i="9"/>
  <c r="B21" i="9"/>
  <c r="C21" i="9" s="1"/>
  <c r="F20" i="9"/>
  <c r="B20" i="9"/>
  <c r="F19" i="9"/>
  <c r="B19" i="9"/>
  <c r="C19" i="9" s="1"/>
  <c r="F18" i="9"/>
  <c r="B18" i="9"/>
  <c r="F17" i="9"/>
  <c r="B17" i="9"/>
  <c r="C17" i="9" s="1"/>
  <c r="F16" i="9"/>
  <c r="B16" i="9"/>
  <c r="C16" i="9" s="1"/>
  <c r="F15" i="9"/>
  <c r="B15" i="9"/>
  <c r="C15" i="9" s="1"/>
  <c r="F14" i="9"/>
  <c r="B14" i="9"/>
  <c r="C14" i="9" s="1"/>
  <c r="F13" i="9"/>
  <c r="B13" i="9"/>
  <c r="C13" i="9" s="1"/>
  <c r="F12" i="9"/>
  <c r="B12" i="9"/>
  <c r="C12" i="9" s="1"/>
  <c r="F11" i="9"/>
  <c r="B11" i="9"/>
  <c r="C11" i="9" s="1"/>
  <c r="F10" i="9"/>
  <c r="B10" i="9"/>
  <c r="F9" i="9"/>
  <c r="B9" i="9"/>
  <c r="C9" i="9" s="1"/>
  <c r="F8" i="9"/>
  <c r="B8" i="9"/>
  <c r="C8" i="9" s="1"/>
  <c r="F7" i="9"/>
  <c r="B7" i="9"/>
  <c r="C7" i="9" s="1"/>
  <c r="D7" i="9" s="1"/>
  <c r="F6" i="9"/>
  <c r="B6" i="9"/>
  <c r="C6" i="9" s="1"/>
  <c r="F5" i="9"/>
  <c r="B5" i="9"/>
  <c r="F4" i="9"/>
  <c r="B4" i="9"/>
  <c r="F3" i="9"/>
  <c r="B3" i="9"/>
  <c r="C3" i="9" s="1"/>
  <c r="D3" i="9" s="1"/>
  <c r="F2" i="9"/>
  <c r="K92" i="11"/>
  <c r="J92" i="11"/>
  <c r="K91" i="11"/>
  <c r="J91" i="11"/>
  <c r="K90" i="11"/>
  <c r="J90" i="11"/>
  <c r="K89" i="11"/>
  <c r="J89" i="11"/>
  <c r="K88" i="11"/>
  <c r="J88" i="11"/>
  <c r="K87" i="11"/>
  <c r="J87" i="11"/>
  <c r="K86" i="11"/>
  <c r="J86" i="11"/>
  <c r="K85" i="11"/>
  <c r="J85" i="11"/>
  <c r="K84" i="11"/>
  <c r="J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K77" i="11"/>
  <c r="J77" i="11"/>
  <c r="K76" i="11"/>
  <c r="J76" i="11"/>
  <c r="K75" i="11"/>
  <c r="J75" i="11"/>
  <c r="K74" i="11"/>
  <c r="J74" i="11"/>
  <c r="K73" i="11"/>
  <c r="J73" i="11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5" i="11"/>
  <c r="J5" i="11"/>
  <c r="K4" i="11"/>
  <c r="J4" i="11"/>
  <c r="K3" i="11"/>
  <c r="J3" i="11"/>
  <c r="K88" i="10"/>
  <c r="J88" i="10"/>
  <c r="K87" i="10"/>
  <c r="J87" i="10"/>
  <c r="K86" i="10"/>
  <c r="J86" i="10"/>
  <c r="K85" i="10"/>
  <c r="J85" i="10"/>
  <c r="K84" i="10"/>
  <c r="J84" i="10"/>
  <c r="K83" i="10"/>
  <c r="J83" i="10"/>
  <c r="K82" i="10"/>
  <c r="J82" i="10"/>
  <c r="K81" i="10"/>
  <c r="J81" i="10"/>
  <c r="K80" i="10"/>
  <c r="J80" i="10"/>
  <c r="K79" i="10"/>
  <c r="J79" i="10"/>
  <c r="K78" i="10"/>
  <c r="J78" i="10"/>
  <c r="K77" i="10"/>
  <c r="J77" i="10"/>
  <c r="K76" i="10"/>
  <c r="J76" i="10"/>
  <c r="K75" i="10"/>
  <c r="J75" i="10"/>
  <c r="K74" i="10"/>
  <c r="J74" i="10"/>
  <c r="K73" i="10"/>
  <c r="J73" i="10"/>
  <c r="K72" i="10"/>
  <c r="J72" i="10"/>
  <c r="K71" i="10"/>
  <c r="J71" i="10"/>
  <c r="K70" i="10"/>
  <c r="J70" i="10"/>
  <c r="K69" i="10"/>
  <c r="J69" i="10"/>
  <c r="K68" i="10"/>
  <c r="J68" i="10"/>
  <c r="K67" i="10"/>
  <c r="J67" i="10"/>
  <c r="K66" i="10"/>
  <c r="J66" i="10"/>
  <c r="K65" i="10"/>
  <c r="J65" i="10"/>
  <c r="K64" i="10"/>
  <c r="J64" i="10"/>
  <c r="K63" i="10"/>
  <c r="J63" i="10"/>
  <c r="K62" i="10"/>
  <c r="J62" i="10"/>
  <c r="K61" i="10"/>
  <c r="J61" i="10"/>
  <c r="K60" i="10"/>
  <c r="J60" i="10"/>
  <c r="K59" i="10"/>
  <c r="J59" i="10"/>
  <c r="K58" i="10"/>
  <c r="J58" i="10"/>
  <c r="K57" i="10"/>
  <c r="J57" i="10"/>
  <c r="K56" i="10"/>
  <c r="J56" i="10"/>
  <c r="K55" i="10"/>
  <c r="J55" i="10"/>
  <c r="K54" i="10"/>
  <c r="J54" i="10"/>
  <c r="K53" i="10"/>
  <c r="J53" i="10"/>
  <c r="K52" i="10"/>
  <c r="J52" i="10"/>
  <c r="K51" i="10"/>
  <c r="J51" i="10"/>
  <c r="K50" i="10"/>
  <c r="J50" i="10"/>
  <c r="K49" i="10"/>
  <c r="J49" i="10"/>
  <c r="K48" i="10"/>
  <c r="J48" i="10"/>
  <c r="K47" i="10"/>
  <c r="J47" i="10"/>
  <c r="K46" i="10"/>
  <c r="J46" i="10"/>
  <c r="K45" i="10"/>
  <c r="J45" i="10"/>
  <c r="K44" i="10"/>
  <c r="J44" i="10"/>
  <c r="K43" i="10"/>
  <c r="J43" i="10"/>
  <c r="K42" i="10"/>
  <c r="J42" i="10"/>
  <c r="K41" i="10"/>
  <c r="J41" i="10"/>
  <c r="K40" i="10"/>
  <c r="J40" i="10"/>
  <c r="K39" i="10"/>
  <c r="J39" i="10"/>
  <c r="K38" i="10"/>
  <c r="J38" i="10"/>
  <c r="K37" i="10"/>
  <c r="J37" i="10"/>
  <c r="K36" i="10"/>
  <c r="J36" i="10"/>
  <c r="K35" i="10"/>
  <c r="J35" i="10"/>
  <c r="K34" i="10"/>
  <c r="J34" i="10"/>
  <c r="K33" i="10"/>
  <c r="J33" i="10"/>
  <c r="K32" i="10"/>
  <c r="J32" i="10"/>
  <c r="K31" i="10"/>
  <c r="J31" i="10"/>
  <c r="K30" i="10"/>
  <c r="J30" i="10"/>
  <c r="K29" i="10"/>
  <c r="J29" i="10"/>
  <c r="K28" i="10"/>
  <c r="J28" i="10"/>
  <c r="K27" i="10"/>
  <c r="J27" i="10"/>
  <c r="K26" i="10"/>
  <c r="J26" i="10"/>
  <c r="K25" i="10"/>
  <c r="J25" i="10"/>
  <c r="K24" i="10"/>
  <c r="J24" i="10"/>
  <c r="K23" i="10"/>
  <c r="J23" i="10"/>
  <c r="K22" i="10"/>
  <c r="J22" i="10"/>
  <c r="K21" i="10"/>
  <c r="J21" i="10"/>
  <c r="K20" i="10"/>
  <c r="J20" i="10"/>
  <c r="K19" i="10"/>
  <c r="J19" i="10"/>
  <c r="K18" i="10"/>
  <c r="J18" i="10"/>
  <c r="K17" i="10"/>
  <c r="J17" i="10"/>
  <c r="K16" i="10"/>
  <c r="J16" i="10"/>
  <c r="K15" i="10"/>
  <c r="J15" i="10"/>
  <c r="K14" i="10"/>
  <c r="J14" i="10"/>
  <c r="K13" i="10"/>
  <c r="J13" i="10"/>
  <c r="K12" i="10"/>
  <c r="J12" i="10"/>
  <c r="K11" i="10"/>
  <c r="J11" i="10"/>
  <c r="K10" i="10"/>
  <c r="J10" i="10"/>
  <c r="K9" i="10"/>
  <c r="J9" i="10"/>
  <c r="K8" i="10"/>
  <c r="J8" i="10"/>
  <c r="K7" i="10"/>
  <c r="J7" i="10"/>
  <c r="K6" i="10"/>
  <c r="J6" i="10"/>
  <c r="K5" i="10"/>
  <c r="J5" i="10"/>
  <c r="K4" i="10"/>
  <c r="J4" i="10"/>
  <c r="K3" i="10"/>
  <c r="J3" i="10"/>
  <c r="D55" i="9" l="1"/>
  <c r="D39" i="9"/>
  <c r="D31" i="9"/>
  <c r="D15" i="9"/>
  <c r="C4" i="9"/>
  <c r="D4" i="9" s="1"/>
  <c r="D23" i="9"/>
  <c r="D49" i="9"/>
  <c r="D65" i="9"/>
  <c r="D47" i="9"/>
  <c r="D63" i="9"/>
  <c r="D41" i="9"/>
  <c r="D57" i="9"/>
  <c r="C20" i="9"/>
  <c r="D20" i="9" s="1"/>
  <c r="C44" i="9"/>
  <c r="D44" i="9" s="1"/>
  <c r="C71" i="9"/>
  <c r="D71" i="9" s="1"/>
  <c r="D84" i="9"/>
  <c r="C87" i="9"/>
  <c r="D87" i="9" s="1"/>
  <c r="D100" i="9"/>
  <c r="C103" i="9"/>
  <c r="D103" i="9" s="1"/>
  <c r="C106" i="9"/>
  <c r="D106" i="9" s="1"/>
  <c r="D116" i="9"/>
  <c r="C122" i="9"/>
  <c r="D122" i="9" s="1"/>
  <c r="D132" i="9"/>
  <c r="C138" i="9"/>
  <c r="D138" i="9" s="1"/>
  <c r="D148" i="9"/>
  <c r="C154" i="9"/>
  <c r="D154" i="9" s="1"/>
  <c r="D164" i="9"/>
  <c r="C170" i="9"/>
  <c r="D170" i="9" s="1"/>
  <c r="D9" i="9"/>
  <c r="D28" i="9"/>
  <c r="D52" i="9"/>
  <c r="D74" i="9"/>
  <c r="C81" i="9"/>
  <c r="D81" i="9" s="1"/>
  <c r="C97" i="9"/>
  <c r="D97" i="9" s="1"/>
  <c r="C113" i="9"/>
  <c r="D113" i="9" s="1"/>
  <c r="D12" i="9"/>
  <c r="D17" i="9"/>
  <c r="D25" i="9"/>
  <c r="D60" i="9"/>
  <c r="C77" i="9"/>
  <c r="D77" i="9" s="1"/>
  <c r="C93" i="9"/>
  <c r="D93" i="9" s="1"/>
  <c r="C5" i="9"/>
  <c r="D5" i="9" s="1"/>
  <c r="C10" i="9"/>
  <c r="D10" i="9" s="1"/>
  <c r="C18" i="9"/>
  <c r="D18" i="9" s="1"/>
  <c r="C26" i="9"/>
  <c r="D26" i="9" s="1"/>
  <c r="C34" i="9"/>
  <c r="D34" i="9" s="1"/>
  <c r="C42" i="9"/>
  <c r="D42" i="9" s="1"/>
  <c r="C50" i="9"/>
  <c r="D50" i="9" s="1"/>
  <c r="C58" i="9"/>
  <c r="D58" i="9" s="1"/>
  <c r="C66" i="9"/>
  <c r="D66" i="9" s="1"/>
  <c r="C75" i="9"/>
  <c r="D75" i="9" s="1"/>
  <c r="C78" i="9"/>
  <c r="D78" i="9" s="1"/>
  <c r="C91" i="9"/>
  <c r="D91" i="9" s="1"/>
  <c r="C94" i="9"/>
  <c r="D94" i="9" s="1"/>
  <c r="C107" i="9"/>
  <c r="D107" i="9" s="1"/>
  <c r="C110" i="9"/>
  <c r="D110" i="9" s="1"/>
  <c r="C126" i="9"/>
  <c r="D126" i="9" s="1"/>
  <c r="C142" i="9"/>
  <c r="D142" i="9" s="1"/>
  <c r="C158" i="9"/>
  <c r="D158" i="9" s="1"/>
  <c r="C174" i="9"/>
  <c r="D174" i="9" s="1"/>
  <c r="D36" i="9"/>
  <c r="D90" i="9"/>
  <c r="C109" i="9"/>
  <c r="D109" i="9" s="1"/>
  <c r="D8" i="9"/>
  <c r="D13" i="9"/>
  <c r="D16" i="9"/>
  <c r="D21" i="9"/>
  <c r="D24" i="9"/>
  <c r="D29" i="9"/>
  <c r="D32" i="9"/>
  <c r="D37" i="9"/>
  <c r="D40" i="9"/>
  <c r="D45" i="9"/>
  <c r="D48" i="9"/>
  <c r="D53" i="9"/>
  <c r="D56" i="9"/>
  <c r="D61" i="9"/>
  <c r="D64" i="9"/>
  <c r="D69" i="9"/>
  <c r="C72" i="9"/>
  <c r="D72" i="9" s="1"/>
  <c r="D82" i="9"/>
  <c r="C85" i="9"/>
  <c r="D85" i="9" s="1"/>
  <c r="C88" i="9"/>
  <c r="D88" i="9" s="1"/>
  <c r="D98" i="9"/>
  <c r="C101" i="9"/>
  <c r="D101" i="9" s="1"/>
  <c r="C104" i="9"/>
  <c r="D104" i="9" s="1"/>
  <c r="D114" i="9"/>
  <c r="C117" i="9"/>
  <c r="D117" i="9" s="1"/>
  <c r="C120" i="9"/>
  <c r="D120" i="9" s="1"/>
  <c r="D130" i="9"/>
  <c r="C136" i="9"/>
  <c r="D136" i="9" s="1"/>
  <c r="D146" i="9"/>
  <c r="C152" i="9"/>
  <c r="D152" i="9" s="1"/>
  <c r="D162" i="9"/>
  <c r="C168" i="9"/>
  <c r="D168" i="9" s="1"/>
  <c r="D68" i="9"/>
  <c r="C79" i="9"/>
  <c r="D79" i="9" s="1"/>
  <c r="C95" i="9"/>
  <c r="D95" i="9" s="1"/>
  <c r="C111" i="9"/>
  <c r="D111" i="9" s="1"/>
  <c r="D6" i="9"/>
  <c r="D11" i="9"/>
  <c r="D14" i="9"/>
  <c r="D19" i="9"/>
  <c r="D22" i="9"/>
  <c r="D27" i="9"/>
  <c r="D30" i="9"/>
  <c r="D35" i="9"/>
  <c r="D38" i="9"/>
  <c r="D43" i="9"/>
  <c r="D46" i="9"/>
  <c r="D51" i="9"/>
  <c r="D54" i="9"/>
  <c r="D59" i="9"/>
  <c r="D62" i="9"/>
  <c r="D67" i="9"/>
  <c r="D70" i="9"/>
  <c r="C73" i="9"/>
  <c r="D73" i="9" s="1"/>
  <c r="C76" i="9"/>
  <c r="D76" i="9" s="1"/>
  <c r="D86" i="9"/>
  <c r="C89" i="9"/>
  <c r="D89" i="9" s="1"/>
  <c r="C92" i="9"/>
  <c r="D92" i="9" s="1"/>
  <c r="D102" i="9"/>
  <c r="C105" i="9"/>
  <c r="D105" i="9" s="1"/>
  <c r="C108" i="9"/>
  <c r="D108" i="9" s="1"/>
  <c r="D118" i="9"/>
  <c r="C124" i="9"/>
  <c r="D124" i="9" s="1"/>
  <c r="D134" i="9"/>
  <c r="C140" i="9"/>
  <c r="D140" i="9" s="1"/>
  <c r="D150" i="9"/>
  <c r="C156" i="9"/>
  <c r="D156" i="9" s="1"/>
  <c r="D166" i="9"/>
  <c r="C172" i="9"/>
  <c r="D172" i="9" s="1"/>
  <c r="D80" i="9"/>
  <c r="C83" i="9"/>
  <c r="D83" i="9" s="1"/>
  <c r="D96" i="9"/>
  <c r="C99" i="9"/>
  <c r="D99" i="9" s="1"/>
  <c r="D112" i="9"/>
  <c r="C115" i="9"/>
  <c r="D115" i="9" s="1"/>
  <c r="D128" i="9"/>
  <c r="D144" i="9"/>
  <c r="D160" i="9"/>
  <c r="D176" i="9"/>
  <c r="C119" i="9"/>
  <c r="D119" i="9" s="1"/>
  <c r="C121" i="9"/>
  <c r="D121" i="9" s="1"/>
  <c r="C123" i="9"/>
  <c r="D123" i="9" s="1"/>
  <c r="C125" i="9"/>
  <c r="D125" i="9" s="1"/>
  <c r="C127" i="9"/>
  <c r="D127" i="9" s="1"/>
  <c r="C129" i="9"/>
  <c r="D129" i="9" s="1"/>
  <c r="C131" i="9"/>
  <c r="D131" i="9" s="1"/>
  <c r="C133" i="9"/>
  <c r="D133" i="9" s="1"/>
  <c r="C135" i="9"/>
  <c r="D135" i="9" s="1"/>
  <c r="C137" i="9"/>
  <c r="D137" i="9" s="1"/>
</calcChain>
</file>

<file path=xl/sharedStrings.xml><?xml version="1.0" encoding="utf-8"?>
<sst xmlns="http://schemas.openxmlformats.org/spreadsheetml/2006/main" count="40" uniqueCount="31">
  <si>
    <t>g</t>
  </si>
  <si>
    <t>Coordonnée-Y</t>
  </si>
  <si>
    <t>Coordonnée-X</t>
  </si>
  <si>
    <t>ID km</t>
  </si>
  <si>
    <r>
      <t xml:space="preserve">Dist. entre points </t>
    </r>
    <r>
      <rPr>
        <sz val="10"/>
        <rFont val="Arial"/>
        <family val="2"/>
      </rPr>
      <t>[m]</t>
    </r>
  </si>
  <si>
    <r>
      <t xml:space="preserve">Dist. cumulée </t>
    </r>
    <r>
      <rPr>
        <sz val="10"/>
        <rFont val="Arial"/>
        <family val="2"/>
      </rPr>
      <t>[m]</t>
    </r>
  </si>
  <si>
    <r>
      <t xml:space="preserve">Altitude </t>
    </r>
    <r>
      <rPr>
        <sz val="10"/>
        <rFont val="Arial"/>
        <family val="2"/>
      </rPr>
      <t>[m s.m.]</t>
    </r>
  </si>
  <si>
    <r>
      <rPr>
        <b/>
        <sz val="10"/>
        <rFont val="Arial"/>
        <family val="2"/>
      </rPr>
      <t xml:space="preserve">Tamisats </t>
    </r>
    <r>
      <rPr>
        <sz val="10"/>
        <rFont val="Arial"/>
        <family val="2"/>
      </rPr>
      <t>[%]</t>
    </r>
  </si>
  <si>
    <r>
      <rPr>
        <b/>
        <sz val="10"/>
        <rFont val="Arial"/>
        <family val="2"/>
      </rPr>
      <t>Diamètre des grains</t>
    </r>
    <r>
      <rPr>
        <sz val="10"/>
        <rFont val="Arial"/>
        <family val="2"/>
      </rPr>
      <t xml:space="preserve"> [cm]</t>
    </r>
  </si>
  <si>
    <r>
      <rPr>
        <sz val="10"/>
        <rFont val="Arial"/>
        <family val="2"/>
      </rPr>
      <t>ρ</t>
    </r>
    <r>
      <rPr>
        <vertAlign val="subscript"/>
        <sz val="10"/>
        <rFont val="Arial"/>
        <family val="2"/>
      </rPr>
      <t>s</t>
    </r>
  </si>
  <si>
    <t>ρ</t>
  </si>
  <si>
    <t>ν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</si>
  <si>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</t>
    </r>
  </si>
  <si>
    <t>Description</t>
  </si>
  <si>
    <t>Symbole</t>
  </si>
  <si>
    <t>Valeur</t>
  </si>
  <si>
    <t>Unité</t>
  </si>
  <si>
    <t xml:space="preserve">Accélération de la pesanteur </t>
  </si>
  <si>
    <r>
      <t>m/s</t>
    </r>
    <r>
      <rPr>
        <vertAlign val="superscript"/>
        <sz val="10"/>
        <rFont val="Arial"/>
        <family val="2"/>
      </rPr>
      <t>2</t>
    </r>
  </si>
  <si>
    <r>
      <t>kg/m</t>
    </r>
    <r>
      <rPr>
        <vertAlign val="superscript"/>
        <sz val="10"/>
        <rFont val="Arial"/>
        <family val="2"/>
      </rPr>
      <t>3</t>
    </r>
  </si>
  <si>
    <r>
      <t>Ξ</t>
    </r>
    <r>
      <rPr>
        <vertAlign val="superscript"/>
        <sz val="10"/>
        <rFont val="Arial"/>
        <family val="2"/>
      </rPr>
      <t>1</t>
    </r>
  </si>
  <si>
    <r>
      <rPr>
        <b/>
        <sz val="10"/>
        <rFont val="Arial"/>
        <family val="2"/>
      </rPr>
      <t xml:space="preserve">Diamètre charactéristique </t>
    </r>
    <r>
      <rPr>
        <sz val="10"/>
        <rFont val="Arial"/>
        <family val="2"/>
      </rPr>
      <t>D</t>
    </r>
    <r>
      <rPr>
        <sz val="10"/>
        <rFont val="Arial"/>
        <family val="2"/>
      </rPr>
      <t xml:space="preserve"> [m]</t>
    </r>
  </si>
  <si>
    <t>Diamètre adimensionnel</t>
  </si>
  <si>
    <r>
      <t>Cisaillement critique selon van Rijn 1984</t>
    </r>
    <r>
      <rPr>
        <vertAlign val="superscript"/>
        <sz val="10"/>
        <rFont val="Arial"/>
        <family val="2"/>
      </rPr>
      <t>2</t>
    </r>
  </si>
  <si>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Voir la définition de la fonction par morceau dans van Rijn, L. C. (1984). Sediment Transport, Part I: Bed Load Transport. Journal of Hydraulic Engineering, 110(10), 1431–1456.</t>
    </r>
  </si>
  <si>
    <r>
      <rPr>
        <b/>
        <sz val="10"/>
        <rFont val="Arial"/>
        <family val="2"/>
      </rPr>
      <t>Cisaillement adimensionnel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critique</t>
    </r>
    <r>
      <rPr>
        <sz val="10"/>
        <rFont val="Arial"/>
        <family val="2"/>
      </rPr>
      <t xml:space="preserve"> Y</t>
    </r>
    <r>
      <rPr>
        <vertAlign val="subscript"/>
        <sz val="10"/>
        <rFont val="Arial"/>
        <family val="2"/>
      </rPr>
      <t>cr</t>
    </r>
  </si>
  <si>
    <r>
      <rPr>
        <b/>
        <sz val="10"/>
        <rFont val="Arial"/>
        <family val="2"/>
      </rPr>
      <t>Nombre de Reynolds du grain critique</t>
    </r>
    <r>
      <rPr>
        <sz val="10"/>
        <rFont val="Arial"/>
        <family val="2"/>
      </rPr>
      <t xml:space="preserve"> Xcr</t>
    </r>
  </si>
  <si>
    <r>
      <t>1</t>
    </r>
    <r>
      <rPr>
        <sz val="10"/>
        <rFont val="Arial"/>
        <family val="2"/>
      </rPr>
      <t>Voir la définition de Ξ dans da Silva, A. M. F., &amp; Yalin, M. S. (2017). Fluvial Processes (Second). CRC Press/Balkema.</t>
    </r>
  </si>
  <si>
    <t>Viscosité cinématique de l'eau à 10 °C</t>
  </si>
  <si>
    <t>Masse volumique de l'eau</t>
  </si>
  <si>
    <t>Masse volumique des sédiments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</si>
</sst>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0.000"/>
    <numFmt numFmtId="165" formatCode="00"/>
    <numFmt numFmtId="166" formatCode="0.0000"/>
    <numFmt numFmtId="168" formatCode="0.000E+00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3" fontId="3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0" fontId="4" fillId="0" borderId="0"/>
    <xf numFmtId="9" fontId="1" fillId="0" borderId="0" applyFont="0" applyFill="0" applyBorder="0" applyAlignment="0" applyProtection="0"/>
    <xf numFmtId="0" fontId="5" fillId="0" borderId="0"/>
    <xf numFmtId="0" fontId="5" fillId="0" borderId="0"/>
  </cellStyleXfs>
  <cellXfs count="30">
    <xf numFmtId="0" fontId="0" fillId="0" borderId="0" xfId="0"/>
    <xf numFmtId="1" fontId="2" fillId="0" borderId="0" xfId="2" applyNumberFormat="1" applyFont="1" applyAlignment="1">
      <alignment horizontal="center" vertical="center"/>
    </xf>
    <xf numFmtId="165" fontId="2" fillId="0" borderId="0" xfId="2" applyNumberFormat="1" applyFont="1" applyAlignment="1">
      <alignment horizontal="center" vertical="center"/>
    </xf>
    <xf numFmtId="0" fontId="2" fillId="0" borderId="0" xfId="2" applyFont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 vertical="center" wrapText="1"/>
    </xf>
    <xf numFmtId="0" fontId="2" fillId="0" borderId="0" xfId="2" applyFont="1" applyAlignment="1">
      <alignment horizontal="center" vertical="center" wrapText="1"/>
    </xf>
    <xf numFmtId="0" fontId="1" fillId="0" borderId="0" xfId="2" applyAlignment="1">
      <alignment horizontal="center" vertical="center"/>
    </xf>
    <xf numFmtId="2" fontId="1" fillId="0" borderId="0" xfId="2" applyNumberFormat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5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horizontal="center" vertical="center" readingOrder="1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7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68" fontId="0" fillId="0" borderId="1" xfId="0" applyNumberFormat="1" applyBorder="1" applyAlignment="1">
      <alignment horizontal="center" vertical="center"/>
    </xf>
  </cellXfs>
  <cellStyles count="9">
    <cellStyle name="Comma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  <cellStyle name="Normal 4" xfId="5" xr:uid="{00000000-0005-0000-0000-000005000000}"/>
    <cellStyle name="Percent 2" xfId="6" xr:uid="{00000000-0005-0000-0000-000006000000}"/>
    <cellStyle name="Standard 2" xfId="7" xr:uid="{00000000-0005-0000-0000-000007000000}"/>
    <cellStyle name="Standard 2 2" xfId="8" xr:uid="{00000000-0005-0000-0000-000008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16307961504806E-2"/>
          <c:y val="4.6858359957401494E-2"/>
          <c:w val="0.88392146981627295"/>
          <c:h val="0.8108485321123997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Granulométrie!$B$2:$B$10</c:f>
              <c:numCache>
                <c:formatCode>General</c:formatCode>
                <c:ptCount val="9"/>
                <c:pt idx="0">
                  <c:v>0.15</c:v>
                </c:pt>
                <c:pt idx="1">
                  <c:v>0.44999999999999996</c:v>
                </c:pt>
                <c:pt idx="2">
                  <c:v>1.2</c:v>
                </c:pt>
                <c:pt idx="3">
                  <c:v>2.4</c:v>
                </c:pt>
                <c:pt idx="4">
                  <c:v>3.5999999999999996</c:v>
                </c:pt>
                <c:pt idx="5">
                  <c:v>4.8</c:v>
                </c:pt>
                <c:pt idx="6">
                  <c:v>7.1999999999999993</c:v>
                </c:pt>
                <c:pt idx="7">
                  <c:v>10</c:v>
                </c:pt>
                <c:pt idx="8">
                  <c:v>15</c:v>
                </c:pt>
              </c:numCache>
            </c:numRef>
          </c:xVal>
          <c:yVal>
            <c:numRef>
              <c:f>Granulométrie!$A$2:$A$10</c:f>
              <c:numCache>
                <c:formatCode>General</c:formatCode>
                <c:ptCount val="9"/>
                <c:pt idx="0">
                  <c:v>0</c:v>
                </c:pt>
                <c:pt idx="1">
                  <c:v>16</c:v>
                </c:pt>
                <c:pt idx="2">
                  <c:v>33</c:v>
                </c:pt>
                <c:pt idx="3">
                  <c:v>46.7</c:v>
                </c:pt>
                <c:pt idx="4">
                  <c:v>57.9</c:v>
                </c:pt>
                <c:pt idx="5">
                  <c:v>66.100000000000009</c:v>
                </c:pt>
                <c:pt idx="6">
                  <c:v>80.900000000000006</c:v>
                </c:pt>
                <c:pt idx="7">
                  <c:v>90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7-497F-A6E2-143043DA1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59039"/>
        <c:axId val="1"/>
      </c:scatterChart>
      <c:valAx>
        <c:axId val="2049759039"/>
        <c:scaling>
          <c:logBase val="10"/>
          <c:orientation val="minMax"/>
          <c:max val="50"/>
        </c:scaling>
        <c:delete val="0"/>
        <c:axPos val="b"/>
        <c:min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Diamètre des grains </a:t>
                </a:r>
                <a:r>
                  <a:rPr lang="fr-CH" b="0"/>
                  <a:t>[cm]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424242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Tamisats </a:t>
                </a:r>
                <a:r>
                  <a:rPr lang="fr-CH" b="0"/>
                  <a:t>[%]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9759039"/>
        <c:crosses val="autoZero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CH"/>
              <a:t>Diagramme de Shields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915446898725668E-2"/>
          <c:y val="6.8601671495804512E-2"/>
          <c:w val="0.87338864477146338"/>
          <c:h val="0.79695180810954658"/>
        </c:manualLayout>
      </c:layout>
      <c:scatterChart>
        <c:scatterStyle val="smoothMarker"/>
        <c:varyColors val="0"/>
        <c:ser>
          <c:idx val="6"/>
          <c:order val="0"/>
          <c:tx>
            <c:v>Shields θcr</c:v>
          </c:tx>
          <c:spPr>
            <a:ln w="44450">
              <a:solidFill>
                <a:sysClr val="windowText" lastClr="000000">
                  <a:lumMod val="95000"/>
                  <a:lumOff val="5000"/>
                </a:sysClr>
              </a:solidFill>
            </a:ln>
          </c:spPr>
          <c:marker>
            <c:symbol val="none"/>
          </c:marker>
          <c:xVal>
            <c:numRef>
              <c:f>Shields!$D$2:$D$177</c:f>
              <c:numCache>
                <c:formatCode>0.00</c:formatCode>
                <c:ptCount val="176"/>
                <c:pt idx="0">
                  <c:v>0.9513220071749855</c:v>
                </c:pt>
                <c:pt idx="1">
                  <c:v>1.588494336103798</c:v>
                </c:pt>
                <c:pt idx="2">
                  <c:v>2.253155219367422</c:v>
                </c:pt>
                <c:pt idx="3">
                  <c:v>2.9168844381295149</c:v>
                </c:pt>
                <c:pt idx="4">
                  <c:v>3.5658535667995208</c:v>
                </c:pt>
                <c:pt idx="5">
                  <c:v>4.2004724735092012</c:v>
                </c:pt>
                <c:pt idx="6">
                  <c:v>4.8338693863105728</c:v>
                </c:pt>
                <c:pt idx="7">
                  <c:v>5.488323974517205</c:v>
                </c:pt>
                <c:pt idx="8">
                  <c:v>6.189935893933372</c:v>
                </c:pt>
                <c:pt idx="9">
                  <c:v>6.9628219228996144</c:v>
                </c:pt>
                <c:pt idx="10">
                  <c:v>7.8246061331302323</c:v>
                </c:pt>
                <c:pt idx="11">
                  <c:v>8.7844385054986152</c:v>
                </c:pt>
                <c:pt idx="12">
                  <c:v>9.8435636465067624</c:v>
                </c:pt>
                <c:pt idx="13">
                  <c:v>10.997471277441873</c:v>
                </c:pt>
                <c:pt idx="14">
                  <c:v>12.238445478636788</c:v>
                </c:pt>
                <c:pt idx="15">
                  <c:v>13.557704478062618</c:v>
                </c:pt>
                <c:pt idx="16">
                  <c:v>14.946821954302155</c:v>
                </c:pt>
                <c:pt idx="17">
                  <c:v>16.398463909468418</c:v>
                </c:pt>
                <c:pt idx="18">
                  <c:v>17.906623009677418</c:v>
                </c:pt>
                <c:pt idx="19">
                  <c:v>19.466551085003342</c:v>
                </c:pt>
                <c:pt idx="20">
                  <c:v>21.074550479189504</c:v>
                </c:pt>
                <c:pt idx="21">
                  <c:v>22.727730276481687</c:v>
                </c:pt>
                <c:pt idx="22">
                  <c:v>24.423785244598314</c:v>
                </c:pt>
                <c:pt idx="23">
                  <c:v>26.160820828468744</c:v>
                </c:pt>
                <c:pt idx="24">
                  <c:v>27.93722676114654</c:v>
                </c:pt>
                <c:pt idx="25">
                  <c:v>29.751591811849838</c:v>
                </c:pt>
                <c:pt idx="26">
                  <c:v>31.602649130991132</c:v>
                </c:pt>
                <c:pt idx="27">
                  <c:v>33.489242345424707</c:v>
                </c:pt>
                <c:pt idx="28">
                  <c:v>35.410304737206047</c:v>
                </c:pt>
                <c:pt idx="29">
                  <c:v>37.364846195542093</c:v>
                </c:pt>
                <c:pt idx="30">
                  <c:v>39.351944574974937</c:v>
                </c:pt>
                <c:pt idx="31">
                  <c:v>41.370739474715208</c:v>
                </c:pt>
                <c:pt idx="32">
                  <c:v>43.420427339483311</c:v>
                </c:pt>
                <c:pt idx="33">
                  <c:v>45.500257304568791</c:v>
                </c:pt>
                <c:pt idx="34">
                  <c:v>47.609527495089722</c:v>
                </c:pt>
                <c:pt idx="35">
                  <c:v>49.747581637918316</c:v>
                </c:pt>
                <c:pt idx="36">
                  <c:v>51.913805917326656</c:v>
                </c:pt>
                <c:pt idx="37">
                  <c:v>54.107626039168601</c:v>
                </c:pt>
                <c:pt idx="38">
                  <c:v>56.32850448347051</c:v>
                </c:pt>
                <c:pt idx="39">
                  <c:v>58.575937931841381</c:v>
                </c:pt>
                <c:pt idx="40">
                  <c:v>60.849454858961877</c:v>
                </c:pt>
                <c:pt idx="41">
                  <c:v>63.148613278737066</c:v>
                </c:pt>
                <c:pt idx="42">
                  <c:v>65.472998636421394</c:v>
                </c:pt>
                <c:pt idx="43">
                  <c:v>67.822221838515986</c:v>
                </c:pt>
                <c:pt idx="44">
                  <c:v>70.19591741264054</c:v>
                </c:pt>
                <c:pt idx="45">
                  <c:v>72.593741789945653</c:v>
                </c:pt>
                <c:pt idx="46">
                  <c:v>75.015371702977404</c:v>
                </c:pt>
                <c:pt idx="47">
                  <c:v>77.460502692238066</c:v>
                </c:pt>
                <c:pt idx="48">
                  <c:v>79.928847715008629</c:v>
                </c:pt>
                <c:pt idx="49">
                  <c:v>82.420135850308654</c:v>
                </c:pt>
                <c:pt idx="50">
                  <c:v>84.934111094170376</c:v>
                </c:pt>
                <c:pt idx="51">
                  <c:v>87.470531239695063</c:v>
                </c:pt>
                <c:pt idx="52">
                  <c:v>90.029166836637216</c:v>
                </c:pt>
                <c:pt idx="53">
                  <c:v>92.609800225538862</c:v>
                </c:pt>
                <c:pt idx="54">
                  <c:v>95.212224641687698</c:v>
                </c:pt>
                <c:pt idx="55">
                  <c:v>97.836243384432905</c:v>
                </c:pt>
                <c:pt idx="56">
                  <c:v>100.48166904762668</c:v>
                </c:pt>
                <c:pt idx="57">
                  <c:v>103.14832280719412</c:v>
                </c:pt>
                <c:pt idx="58">
                  <c:v>105.83603376205458</c:v>
                </c:pt>
                <c:pt idx="59">
                  <c:v>108.54463832483209</c:v>
                </c:pt>
                <c:pt idx="60">
                  <c:v>111.27397965899371</c:v>
                </c:pt>
                <c:pt idx="61">
                  <c:v>114.02390715924919</c:v>
                </c:pt>
                <c:pt idx="62">
                  <c:v>116.79427597223427</c:v>
                </c:pt>
                <c:pt idx="63">
                  <c:v>119.58494655467112</c:v>
                </c:pt>
                <c:pt idx="64">
                  <c:v>122.39578426637566</c:v>
                </c:pt>
                <c:pt idx="65">
                  <c:v>125.22665899563533</c:v>
                </c:pt>
                <c:pt idx="66">
                  <c:v>128.07744481463516</c:v>
                </c:pt>
                <c:pt idx="67">
                  <c:v>130.94801966276165</c:v>
                </c:pt>
                <c:pt idx="68">
                  <c:v>133.83826505573947</c:v>
                </c:pt>
                <c:pt idx="69">
                  <c:v>136.74806581869771</c:v>
                </c:pt>
                <c:pt idx="70">
                  <c:v>139.67730984137978</c:v>
                </c:pt>
                <c:pt idx="71">
                  <c:v>142.62588785382871</c:v>
                </c:pt>
                <c:pt idx="72">
                  <c:v>145.59369322099283</c:v>
                </c:pt>
                <c:pt idx="73">
                  <c:v>148.58062175479665</c:v>
                </c:pt>
                <c:pt idx="74">
                  <c:v>151.58657154232424</c:v>
                </c:pt>
                <c:pt idx="75">
                  <c:v>154.6114427888524</c:v>
                </c:pt>
                <c:pt idx="76">
                  <c:v>157.65513767456002</c:v>
                </c:pt>
                <c:pt idx="77">
                  <c:v>160.71756022382064</c:v>
                </c:pt>
                <c:pt idx="78">
                  <c:v>163.7986161860623</c:v>
                </c:pt>
                <c:pt idx="79">
                  <c:v>166.89821292725381</c:v>
                </c:pt>
                <c:pt idx="80">
                  <c:v>170.01625933114121</c:v>
                </c:pt>
                <c:pt idx="81">
                  <c:v>173.15266570942273</c:v>
                </c:pt>
                <c:pt idx="82">
                  <c:v>176.30734372011383</c:v>
                </c:pt>
                <c:pt idx="83">
                  <c:v>179.48020629340414</c:v>
                </c:pt>
                <c:pt idx="84">
                  <c:v>182.67116756436192</c:v>
                </c:pt>
                <c:pt idx="85">
                  <c:v>185.88014281189731</c:v>
                </c:pt>
                <c:pt idx="86">
                  <c:v>189.10704840342743</c:v>
                </c:pt>
                <c:pt idx="87">
                  <c:v>192.35180174474365</c:v>
                </c:pt>
                <c:pt idx="88">
                  <c:v>195.61432123461182</c:v>
                </c:pt>
                <c:pt idx="89">
                  <c:v>198.8945262236729</c:v>
                </c:pt>
                <c:pt idx="90">
                  <c:v>202.19233697725343</c:v>
                </c:pt>
                <c:pt idx="91">
                  <c:v>205.50767464171719</c:v>
                </c:pt>
                <c:pt idx="92">
                  <c:v>208.84046121402793</c:v>
                </c:pt>
                <c:pt idx="93">
                  <c:v>212.19061951421432</c:v>
                </c:pt>
                <c:pt idx="94">
                  <c:v>215.55807316045556</c:v>
                </c:pt>
                <c:pt idx="95">
                  <c:v>218.94274654653282</c:v>
                </c:pt>
                <c:pt idx="96">
                  <c:v>222.34456482140831</c:v>
                </c:pt>
                <c:pt idx="97">
                  <c:v>225.76345387071814</c:v>
                </c:pt>
                <c:pt idx="98">
                  <c:v>229.19934029998399</c:v>
                </c:pt>
                <c:pt idx="99">
                  <c:v>232.65215141935835</c:v>
                </c:pt>
                <c:pt idx="100">
                  <c:v>236.1218152297499</c:v>
                </c:pt>
                <c:pt idx="101">
                  <c:v>239.60826041017012</c:v>
                </c:pt>
                <c:pt idx="102">
                  <c:v>243.11141630617541</c:v>
                </c:pt>
                <c:pt idx="103">
                  <c:v>246.63121291927487</c:v>
                </c:pt>
                <c:pt idx="104">
                  <c:v>250.16758089719659</c:v>
                </c:pt>
                <c:pt idx="105">
                  <c:v>253.72045152491529</c:v>
                </c:pt>
                <c:pt idx="106">
                  <c:v>257.28975671634038</c:v>
                </c:pt>
                <c:pt idx="107">
                  <c:v>260.87542900659611</c:v>
                </c:pt>
                <c:pt idx="108">
                  <c:v>264.47740154480925</c:v>
                </c:pt>
                <c:pt idx="109">
                  <c:v>268.09560808734398</c:v>
                </c:pt>
                <c:pt idx="110">
                  <c:v>271.7299829914225</c:v>
                </c:pt>
                <c:pt idx="111">
                  <c:v>275.38046120907927</c:v>
                </c:pt>
                <c:pt idx="112">
                  <c:v>279.04697828140297</c:v>
                </c:pt>
                <c:pt idx="113">
                  <c:v>282.72947033301949</c:v>
                </c:pt>
                <c:pt idx="114">
                  <c:v>286.42787406678315</c:v>
                </c:pt>
                <c:pt idx="115">
                  <c:v>290.14212675864127</c:v>
                </c:pt>
                <c:pt idx="116">
                  <c:v>293.87216625264165</c:v>
                </c:pt>
                <c:pt idx="117">
                  <c:v>297.61793095605998</c:v>
                </c:pt>
                <c:pt idx="118">
                  <c:v>301.37935983462273</c:v>
                </c:pt>
                <c:pt idx="119">
                  <c:v>305.15639240780644</c:v>
                </c:pt>
                <c:pt idx="120">
                  <c:v>308.94896874419436</c:v>
                </c:pt>
                <c:pt idx="121">
                  <c:v>312.75702945688249</c:v>
                </c:pt>
                <c:pt idx="122">
                  <c:v>316.58051569891234</c:v>
                </c:pt>
                <c:pt idx="123">
                  <c:v>320.41936915873038</c:v>
                </c:pt>
                <c:pt idx="124">
                  <c:v>324.27353205565612</c:v>
                </c:pt>
                <c:pt idx="125">
                  <c:v>328.14294713535872</c:v>
                </c:pt>
                <c:pt idx="126">
                  <c:v>332.02755766533102</c:v>
                </c:pt>
                <c:pt idx="127">
                  <c:v>335.92730743035753</c:v>
                </c:pt>
                <c:pt idx="128">
                  <c:v>339.84214072797732</c:v>
                </c:pt>
                <c:pt idx="129">
                  <c:v>343.77200236392895</c:v>
                </c:pt>
                <c:pt idx="130">
                  <c:v>347.71683764758626</c:v>
                </c:pt>
                <c:pt idx="131">
                  <c:v>351.67659238737571</c:v>
                </c:pt>
                <c:pt idx="132">
                  <c:v>355.65121288618047</c:v>
                </c:pt>
                <c:pt idx="133">
                  <c:v>359.64064593672521</c:v>
                </c:pt>
                <c:pt idx="134">
                  <c:v>363.64483881695026</c:v>
                </c:pt>
                <c:pt idx="135">
                  <c:v>367.66373928536694</c:v>
                </c:pt>
                <c:pt idx="136">
                  <c:v>371.69729557639846</c:v>
                </c:pt>
                <c:pt idx="137">
                  <c:v>375.74545639571465</c:v>
                </c:pt>
                <c:pt idx="138">
                  <c:v>379.80817091554877</c:v>
                </c:pt>
                <c:pt idx="139">
                  <c:v>383.8853887700123</c:v>
                </c:pt>
                <c:pt idx="140">
                  <c:v>387.9770600503972</c:v>
                </c:pt>
                <c:pt idx="141">
                  <c:v>392.08313530047934</c:v>
                </c:pt>
                <c:pt idx="142">
                  <c:v>396.20356551181663</c:v>
                </c:pt>
                <c:pt idx="143">
                  <c:v>400.33830211904598</c:v>
                </c:pt>
                <c:pt idx="144">
                  <c:v>404.48729699518697</c:v>
                </c:pt>
                <c:pt idx="145">
                  <c:v>408.65050244694578</c:v>
                </c:pt>
                <c:pt idx="146">
                  <c:v>412.82787121002997</c:v>
                </c:pt>
                <c:pt idx="147">
                  <c:v>417.01935644446985</c:v>
                </c:pt>
                <c:pt idx="148">
                  <c:v>421.22491172995268</c:v>
                </c:pt>
                <c:pt idx="149">
                  <c:v>425.44449106117241</c:v>
                </c:pt>
                <c:pt idx="150">
                  <c:v>429.67804884319224</c:v>
                </c:pt>
                <c:pt idx="151">
                  <c:v>433.92553988682823</c:v>
                </c:pt>
                <c:pt idx="152">
                  <c:v>438.18691940405319</c:v>
                </c:pt>
                <c:pt idx="153">
                  <c:v>442.46214300341927</c:v>
                </c:pt>
                <c:pt idx="154">
                  <c:v>446.75116668551124</c:v>
                </c:pt>
                <c:pt idx="155">
                  <c:v>451.05394683841888</c:v>
                </c:pt>
                <c:pt idx="156">
                  <c:v>455.37044023324319</c:v>
                </c:pt>
                <c:pt idx="157">
                  <c:v>459.70060401962542</c:v>
                </c:pt>
                <c:pt idx="158">
                  <c:v>464.04439572131412</c:v>
                </c:pt>
                <c:pt idx="159">
                  <c:v>468.40177323176056</c:v>
                </c:pt>
                <c:pt idx="160">
                  <c:v>472.77269480974576</c:v>
                </c:pt>
                <c:pt idx="161">
                  <c:v>477.15711907505005</c:v>
                </c:pt>
                <c:pt idx="162">
                  <c:v>481.55500500414928</c:v>
                </c:pt>
                <c:pt idx="163">
                  <c:v>485.96631192595623</c:v>
                </c:pt>
                <c:pt idx="164">
                  <c:v>490.39099951759607</c:v>
                </c:pt>
                <c:pt idx="165">
                  <c:v>494.82902780022357</c:v>
                </c:pt>
                <c:pt idx="166">
                  <c:v>499.28035713487697</c:v>
                </c:pt>
                <c:pt idx="167">
                  <c:v>503.74494821837806</c:v>
                </c:pt>
                <c:pt idx="168">
                  <c:v>508.22276207926774</c:v>
                </c:pt>
                <c:pt idx="169">
                  <c:v>512.71376007378785</c:v>
                </c:pt>
                <c:pt idx="170">
                  <c:v>517.21790388190493</c:v>
                </c:pt>
                <c:pt idx="171">
                  <c:v>521.73515550337891</c:v>
                </c:pt>
                <c:pt idx="172">
                  <c:v>526.26547725387081</c:v>
                </c:pt>
                <c:pt idx="173">
                  <c:v>530.80883176109717</c:v>
                </c:pt>
                <c:pt idx="174">
                  <c:v>535.365181961031</c:v>
                </c:pt>
                <c:pt idx="175">
                  <c:v>648525.18074613519</c:v>
                </c:pt>
              </c:numCache>
            </c:numRef>
          </c:xVal>
          <c:yVal>
            <c:numRef>
              <c:f>Shields!$C$2:$C$177</c:f>
              <c:numCache>
                <c:formatCode>0.00</c:formatCode>
                <c:ptCount val="176"/>
                <c:pt idx="0">
                  <c:v>9.6830887855938894E-2</c:v>
                </c:pt>
                <c:pt idx="1">
                  <c:v>7.9993811648735758E-2</c:v>
                </c:pt>
                <c:pt idx="2">
                  <c:v>6.7897074541305946E-2</c:v>
                </c:pt>
                <c:pt idx="3">
                  <c:v>5.8260907871272041E-2</c:v>
                </c:pt>
                <c:pt idx="4">
                  <c:v>5.0387414271822459E-2</c:v>
                </c:pt>
                <c:pt idx="5">
                  <c:v>4.4030232626733307E-2</c:v>
                </c:pt>
                <c:pt idx="6">
                  <c:v>3.9063277221977014E-2</c:v>
                </c:pt>
                <c:pt idx="7">
                  <c:v>3.5367207069761687E-2</c:v>
                </c:pt>
                <c:pt idx="8">
                  <c:v>3.2796018030068423E-2</c:v>
                </c:pt>
                <c:pt idx="9">
                  <c:v>3.1177503351705157E-2</c:v>
                </c:pt>
                <c:pt idx="10">
                  <c:v>3.0327041616094307E-2</c:v>
                </c:pt>
                <c:pt idx="11">
                  <c:v>3.0064000566295931E-2</c:v>
                </c:pt>
                <c:pt idx="12">
                  <c:v>3.0225216080150098E-2</c:v>
                </c:pt>
                <c:pt idx="13">
                  <c:v>3.0673314641525801E-2</c:v>
                </c:pt>
                <c:pt idx="14">
                  <c:v>3.1299786910057824E-2</c:v>
                </c:pt>
                <c:pt idx="15">
                  <c:v>3.202391145138711E-2</c:v>
                </c:pt>
                <c:pt idx="16">
                  <c:v>3.2789064130873874E-2</c:v>
                </c:pt>
                <c:pt idx="17">
                  <c:v>3.3557866948996304E-2</c:v>
                </c:pt>
                <c:pt idx="18">
                  <c:v>3.4307273744941254E-2</c:v>
                </c:pt>
                <c:pt idx="19">
                  <c:v>3.5024259125887885E-2</c:v>
                </c:pt>
                <c:pt idx="20">
                  <c:v>3.5702399987719249E-2</c:v>
                </c:pt>
                <c:pt idx="21">
                  <c:v>3.6339373804538902E-2</c:v>
                </c:pt>
                <c:pt idx="22">
                  <c:v>3.6935249243292272E-2</c:v>
                </c:pt>
                <c:pt idx="23">
                  <c:v>3.7491388141296302E-2</c:v>
                </c:pt>
                <c:pt idx="24">
                  <c:v>3.800977999273171E-2</c:v>
                </c:pt>
                <c:pt idx="25">
                  <c:v>3.8492661034685606E-2</c:v>
                </c:pt>
                <c:pt idx="26">
                  <c:v>3.8942309022973208E-2</c:v>
                </c:pt>
                <c:pt idx="27">
                  <c:v>3.9360940294865351E-2</c:v>
                </c:pt>
                <c:pt idx="28">
                  <c:v>3.9750663154558802E-2</c:v>
                </c:pt>
                <c:pt idx="29">
                  <c:v>4.0113460597293954E-2</c:v>
                </c:pt>
                <c:pt idx="30">
                  <c:v>4.0451187434220506E-2</c:v>
                </c:pt>
                <c:pt idx="31">
                  <c:v>4.076557399206835E-2</c:v>
                </c:pt>
                <c:pt idx="32">
                  <c:v>4.1058232500935224E-2</c:v>
                </c:pt>
                <c:pt idx="33">
                  <c:v>4.1330664342079104E-2</c:v>
                </c:pt>
                <c:pt idx="34">
                  <c:v>4.1584267346383978E-2</c:v>
                </c:pt>
                <c:pt idx="35">
                  <c:v>4.182034281271145E-2</c:v>
                </c:pt>
                <c:pt idx="36">
                  <c:v>4.2040102128778935E-2</c:v>
                </c:pt>
                <c:pt idx="37">
                  <c:v>4.2244672967309556E-2</c:v>
                </c:pt>
                <c:pt idx="38">
                  <c:v>4.2435105065798166E-2</c:v>
                </c:pt>
                <c:pt idx="39">
                  <c:v>4.2612375610928607E-2</c:v>
                </c:pt>
                <c:pt idx="40">
                  <c:v>4.2777394252226049E-2</c:v>
                </c:pt>
                <c:pt idx="41">
                  <c:v>4.2931007769636806E-2</c:v>
                </c:pt>
                <c:pt idx="42">
                  <c:v>4.3074004418649114E-2</c:v>
                </c:pt>
                <c:pt idx="43">
                  <c:v>4.3207117975145461E-2</c:v>
                </c:pt>
                <c:pt idx="44">
                  <c:v>4.3331031500710063E-2</c:v>
                </c:pt>
                <c:pt idx="45">
                  <c:v>4.344638084770356E-2</c:v>
                </c:pt>
                <c:pt idx="46">
                  <c:v>4.3553757922088272E-2</c:v>
                </c:pt>
                <c:pt idx="47">
                  <c:v>4.3653713720746321E-2</c:v>
                </c:pt>
                <c:pt idx="48">
                  <c:v>4.3746761158876102E-2</c:v>
                </c:pt>
                <c:pt idx="49">
                  <c:v>4.3833377701975651E-2</c:v>
                </c:pt>
                <c:pt idx="50">
                  <c:v>4.391400781591874E-2</c:v>
                </c:pt>
                <c:pt idx="51">
                  <c:v>4.3989065247695983E-2</c:v>
                </c:pt>
                <c:pt idx="52">
                  <c:v>4.4058935148524506E-2</c:v>
                </c:pt>
                <c:pt idx="53">
                  <c:v>4.4123976050220629E-2</c:v>
                </c:pt>
                <c:pt idx="54">
                  <c:v>4.4184521704977275E-2</c:v>
                </c:pt>
                <c:pt idx="55">
                  <c:v>4.4240882797986679E-2</c:v>
                </c:pt>
                <c:pt idx="56">
                  <c:v>4.4293348541696649E-2</c:v>
                </c:pt>
                <c:pt idx="57">
                  <c:v>4.4342188159881168E-2</c:v>
                </c:pt>
                <c:pt idx="58">
                  <c:v>4.4387652269140626E-2</c:v>
                </c:pt>
                <c:pt idx="59">
                  <c:v>4.4429974164920942E-2</c:v>
                </c:pt>
                <c:pt idx="60">
                  <c:v>4.4469371018650519E-2</c:v>
                </c:pt>
                <c:pt idx="61">
                  <c:v>4.4506044992138054E-2</c:v>
                </c:pt>
                <c:pt idx="62">
                  <c:v>4.454018427494974E-2</c:v>
                </c:pt>
                <c:pt idx="63">
                  <c:v>4.4571964050088966E-2</c:v>
                </c:pt>
                <c:pt idx="64">
                  <c:v>4.4601547392933955E-2</c:v>
                </c:pt>
                <c:pt idx="65">
                  <c:v>4.4629086108046001E-2</c:v>
                </c:pt>
                <c:pt idx="66">
                  <c:v>4.4654721508142481E-2</c:v>
                </c:pt>
                <c:pt idx="67">
                  <c:v>4.4678585139231751E-2</c:v>
                </c:pt>
                <c:pt idx="68">
                  <c:v>4.4700799455631011E-2</c:v>
                </c:pt>
                <c:pt idx="69">
                  <c:v>4.472147844833084E-2</c:v>
                </c:pt>
                <c:pt idx="70">
                  <c:v>4.4740728229930873E-2</c:v>
                </c:pt>
                <c:pt idx="71">
                  <c:v>4.4758647579148096E-2</c:v>
                </c:pt>
                <c:pt idx="72">
                  <c:v>4.4775328447691998E-2</c:v>
                </c:pt>
                <c:pt idx="73">
                  <c:v>4.4790856432107382E-2</c:v>
                </c:pt>
                <c:pt idx="74">
                  <c:v>4.4805311213006224E-2</c:v>
                </c:pt>
                <c:pt idx="75">
                  <c:v>4.4818766963942352E-2</c:v>
                </c:pt>
                <c:pt idx="76">
                  <c:v>4.4831292732027128E-2</c:v>
                </c:pt>
                <c:pt idx="77">
                  <c:v>4.4842952792239175E-2</c:v>
                </c:pt>
                <c:pt idx="78">
                  <c:v>4.4853806977246308E-2</c:v>
                </c:pt>
                <c:pt idx="79">
                  <c:v>4.486391098443207E-2</c:v>
                </c:pt>
                <c:pt idx="80">
                  <c:v>4.4873316661702453E-2</c:v>
                </c:pt>
                <c:pt idx="81">
                  <c:v>4.4882072273539221E-2</c:v>
                </c:pt>
                <c:pt idx="82">
                  <c:v>4.4890222748665304E-2</c:v>
                </c:pt>
                <c:pt idx="83">
                  <c:v>4.4897809910592917E-2</c:v>
                </c:pt>
                <c:pt idx="84">
                  <c:v>4.4904872692237585E-2</c:v>
                </c:pt>
                <c:pt idx="85">
                  <c:v>4.4911447335699288E-2</c:v>
                </c:pt>
                <c:pt idx="86">
                  <c:v>4.4917567578235902E-2</c:v>
                </c:pt>
                <c:pt idx="87">
                  <c:v>4.4923264825383245E-2</c:v>
                </c:pt>
                <c:pt idx="88">
                  <c:v>4.4928568312110069E-2</c:v>
                </c:pt>
                <c:pt idx="89">
                  <c:v>4.4933505252834988E-2</c:v>
                </c:pt>
                <c:pt idx="90">
                  <c:v>4.4938100981075063E-2</c:v>
                </c:pt>
                <c:pt idx="91">
                  <c:v>4.4942379079442749E-2</c:v>
                </c:pt>
                <c:pt idx="92">
                  <c:v>4.4946361500658165E-2</c:v>
                </c:pt>
                <c:pt idx="93">
                  <c:v>4.4950068680197762E-2</c:v>
                </c:pt>
                <c:pt idx="94">
                  <c:v>4.4953519641157277E-2</c:v>
                </c:pt>
                <c:pt idx="95">
                  <c:v>4.4956732091867291E-2</c:v>
                </c:pt>
                <c:pt idx="96">
                  <c:v>4.4959722516762071E-2</c:v>
                </c:pt>
                <c:pt idx="97">
                  <c:v>4.4962506260968156E-2</c:v>
                </c:pt>
                <c:pt idx="98">
                  <c:v>4.4965097609046628E-2</c:v>
                </c:pt>
                <c:pt idx="99">
                  <c:v>4.496750985829321E-2</c:v>
                </c:pt>
                <c:pt idx="100">
                  <c:v>4.4969755386972274E-2</c:v>
                </c:pt>
                <c:pt idx="101">
                  <c:v>4.4971845717834899E-2</c:v>
                </c:pt>
                <c:pt idx="102">
                  <c:v>4.4973791577246985E-2</c:v>
                </c:pt>
                <c:pt idx="103">
                  <c:v>4.4975602950230703E-2</c:v>
                </c:pt>
                <c:pt idx="104">
                  <c:v>4.4977289131701861E-2</c:v>
                </c:pt>
                <c:pt idx="105">
                  <c:v>4.4978858774166033E-2</c:v>
                </c:pt>
                <c:pt idx="106">
                  <c:v>4.4980319932118165E-2</c:v>
                </c:pt>
                <c:pt idx="107">
                  <c:v>4.4981680103373597E-2</c:v>
                </c:pt>
                <c:pt idx="108">
                  <c:v>4.4982946267542512E-2</c:v>
                </c:pt>
                <c:pt idx="109">
                  <c:v>4.4984124921845219E-2</c:v>
                </c:pt>
                <c:pt idx="110">
                  <c:v>4.4985222114452147E-2</c:v>
                </c:pt>
                <c:pt idx="111">
                  <c:v>4.4986243475519549E-2</c:v>
                </c:pt>
                <c:pt idx="112">
                  <c:v>4.4987194246080164E-2</c:v>
                </c:pt>
                <c:pt idx="113">
                  <c:v>4.4988079304937201E-2</c:v>
                </c:pt>
                <c:pt idx="114">
                  <c:v>4.4988903193699505E-2</c:v>
                </c:pt>
                <c:pt idx="115">
                  <c:v>4.4989670140086459E-2</c:v>
                </c:pt>
                <c:pt idx="116">
                  <c:v>4.4990384079622206E-2</c:v>
                </c:pt>
                <c:pt idx="117">
                  <c:v>4.499104867583046E-2</c:v>
                </c:pt>
                <c:pt idx="118">
                  <c:v>4.4991667339033585E-2</c:v>
                </c:pt>
                <c:pt idx="119">
                  <c:v>4.4992243243852398E-2</c:v>
                </c:pt>
                <c:pt idx="120">
                  <c:v>4.4992779345496496E-2</c:v>
                </c:pt>
                <c:pt idx="121">
                  <c:v>4.499327839492865E-2</c:v>
                </c:pt>
                <c:pt idx="122">
                  <c:v>4.4993742952981156E-2</c:v>
                </c:pt>
                <c:pt idx="123">
                  <c:v>4.4994175403496574E-2</c:v>
                </c:pt>
                <c:pt idx="124">
                  <c:v>4.4994577965560181E-2</c:v>
                </c:pt>
                <c:pt idx="125">
                  <c:v>4.4994952704887056E-2</c:v>
                </c:pt>
                <c:pt idx="126">
                  <c:v>4.4995301544422141E-2</c:v>
                </c:pt>
                <c:pt idx="127">
                  <c:v>4.4995626274207647E-2</c:v>
                </c:pt>
                <c:pt idx="128">
                  <c:v>4.4995928560568527E-2</c:v>
                </c:pt>
                <c:pt idx="129">
                  <c:v>4.4996209954663108E-2</c:v>
                </c:pt>
                <c:pt idx="130">
                  <c:v>4.4996471900442717E-2</c:v>
                </c:pt>
                <c:pt idx="131">
                  <c:v>4.4996715742061197E-2</c:v>
                </c:pt>
                <c:pt idx="132">
                  <c:v>4.4996942730772344E-2</c:v>
                </c:pt>
                <c:pt idx="133">
                  <c:v>4.49971540313506E-2</c:v>
                </c:pt>
                <c:pt idx="134">
                  <c:v>4.4997350728068014E-2</c:v>
                </c:pt>
                <c:pt idx="135">
                  <c:v>4.499753383025807E-2</c:v>
                </c:pt>
                <c:pt idx="136">
                  <c:v>4.4997704277495054E-2</c:v>
                </c:pt>
                <c:pt idx="137">
                  <c:v>4.499786294441533E-2</c:v>
                </c:pt>
                <c:pt idx="138">
                  <c:v>4.499801064520554E-2</c:v>
                </c:pt>
                <c:pt idx="139">
                  <c:v>4.499814813778049E-2</c:v>
                </c:pt>
                <c:pt idx="140">
                  <c:v>4.4998276127672349E-2</c:v>
                </c:pt>
                <c:pt idx="141">
                  <c:v>4.4998395271651032E-2</c:v>
                </c:pt>
                <c:pt idx="142">
                  <c:v>4.4998506181094335E-2</c:v>
                </c:pt>
                <c:pt idx="143">
                  <c:v>4.4998609425125222E-2</c:v>
                </c:pt>
                <c:pt idx="144">
                  <c:v>4.4998705533532198E-2</c:v>
                </c:pt>
                <c:pt idx="145">
                  <c:v>4.4998794999487862E-2</c:v>
                </c:pt>
                <c:pt idx="146">
                  <c:v>4.4998878282079637E-2</c:v>
                </c:pt>
                <c:pt idx="147">
                  <c:v>4.4998955808665468E-2</c:v>
                </c:pt>
                <c:pt idx="148">
                  <c:v>4.4999027977066869E-2</c:v>
                </c:pt>
                <c:pt idx="149">
                  <c:v>4.4999095157610206E-2</c:v>
                </c:pt>
                <c:pt idx="150">
                  <c:v>4.4999157695027082E-2</c:v>
                </c:pt>
                <c:pt idx="151">
                  <c:v>4.499921591022326E-2</c:v>
                </c:pt>
                <c:pt idx="152">
                  <c:v>4.4999270101925365E-2</c:v>
                </c:pt>
                <c:pt idx="153">
                  <c:v>4.4999320548213782E-2</c:v>
                </c:pt>
                <c:pt idx="154">
                  <c:v>4.4999367507949625E-2</c:v>
                </c:pt>
                <c:pt idx="155">
                  <c:v>4.499941122210302E-2</c:v>
                </c:pt>
                <c:pt idx="156">
                  <c:v>4.4999451914989656E-2</c:v>
                </c:pt>
                <c:pt idx="157">
                  <c:v>4.4999489795421829E-2</c:v>
                </c:pt>
                <c:pt idx="158">
                  <c:v>4.4999525057779953E-2</c:v>
                </c:pt>
                <c:pt idx="159">
                  <c:v>4.4999557883010008E-2</c:v>
                </c:pt>
                <c:pt idx="160">
                  <c:v>4.4999588439552034E-2</c:v>
                </c:pt>
                <c:pt idx="161">
                  <c:v>4.4999616884204494E-2</c:v>
                </c:pt>
                <c:pt idx="162">
                  <c:v>4.4999643362928839E-2</c:v>
                </c:pt>
                <c:pt idx="163">
                  <c:v>4.4999668011598534E-2</c:v>
                </c:pt>
                <c:pt idx="164">
                  <c:v>4.4999690956696259E-2</c:v>
                </c:pt>
                <c:pt idx="165">
                  <c:v>4.4999712315962954E-2</c:v>
                </c:pt>
                <c:pt idx="166">
                  <c:v>4.4999732199001989E-2</c:v>
                </c:pt>
                <c:pt idx="167">
                  <c:v>4.4999750707841582E-2</c:v>
                </c:pt>
                <c:pt idx="168">
                  <c:v>4.4999767937458378E-2</c:v>
                </c:pt>
                <c:pt idx="169">
                  <c:v>4.4999783976264765E-2</c:v>
                </c:pt>
                <c:pt idx="170">
                  <c:v>4.4999798906562617E-2</c:v>
                </c:pt>
                <c:pt idx="171">
                  <c:v>4.4999812804965553E-2</c:v>
                </c:pt>
                <c:pt idx="172">
                  <c:v>4.4999825742792113E-2</c:v>
                </c:pt>
                <c:pt idx="173">
                  <c:v>4.4999837786431733E-2</c:v>
                </c:pt>
                <c:pt idx="174">
                  <c:v>4.4999848997685374E-2</c:v>
                </c:pt>
                <c:pt idx="175">
                  <c:v>4.4999999999999998E-2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8B-4241-BD98-405E2D6C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60959"/>
        <c:axId val="1"/>
      </c:scatterChart>
      <c:valAx>
        <c:axId val="2049760959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Nombre de Reynolds du grain</a:t>
                </a:r>
              </a:p>
            </c:rich>
          </c:tx>
          <c:layout>
            <c:manualLayout>
              <c:xMode val="edge"/>
              <c:yMode val="edge"/>
              <c:x val="0.45114235057047863"/>
              <c:y val="0.92239103124929889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"/>
        <c:crossesAt val="1E-4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12700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ajorGridlines>
        <c:minorGridlines>
          <c:spPr>
            <a:ln w="3175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Cisaillement</a:t>
                </a:r>
                <a:r>
                  <a:rPr lang="fr-CH" baseline="0"/>
                  <a:t> adimensionnel </a:t>
                </a:r>
                <a:endParaRPr lang="fr-CH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 w="3175">
            <a:solidFill>
              <a:sysClr val="window" lastClr="FFFFFF">
                <a:lumMod val="50000"/>
              </a:sys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2049760959"/>
        <c:crossesAt val="0.1"/>
        <c:crossBetween val="midCat"/>
      </c:valAx>
      <c:spPr>
        <a:noFill/>
        <a:ln w="12700">
          <a:solidFill>
            <a:sysClr val="windowText" lastClr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732928087068295"/>
          <c:y val="0.93437226596675416"/>
          <c:w val="8.7320326664541842E-2"/>
          <c:h val="3.2154754694124772E-2"/>
        </c:manualLayout>
      </c:layout>
      <c:overlay val="0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fr-FR"/>
    </a:p>
  </c:txPr>
  <c:printSettings>
    <c:headerFooter alignWithMargins="0"/>
    <c:pageMargins b="1" l="0.75000000000000022" r="0.75000000000000022" t="1" header="0.5" footer="0.5"/>
    <c:pageSetup paperSize="9" orientation="landscape" horizontalDpi="1200" verticalDpi="1200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CH"/>
              <a:t>Diagramme de Shields, selon van Rijn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915446898725668E-2"/>
          <c:y val="6.8601671495804512E-2"/>
          <c:w val="0.87338864477146338"/>
          <c:h val="0.79695180810954658"/>
        </c:manualLayout>
      </c:layout>
      <c:scatterChart>
        <c:scatterStyle val="lineMarker"/>
        <c:varyColors val="0"/>
        <c:ser>
          <c:idx val="0"/>
          <c:order val="0"/>
          <c:tx>
            <c:v>van Rijn</c:v>
          </c:tx>
          <c:spPr>
            <a:ln w="444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Shields!$E$2:$E$203</c:f>
              <c:numCache>
                <c:formatCode>General</c:formatCode>
                <c:ptCount val="20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1000</c:v>
                </c:pt>
                <c:pt idx="201">
                  <c:v>10000</c:v>
                </c:pt>
              </c:numCache>
            </c:numRef>
          </c:xVal>
          <c:yVal>
            <c:numRef>
              <c:f>Shields!$F$2:$F$203</c:f>
              <c:numCache>
                <c:formatCode>0.000</c:formatCode>
                <c:ptCount val="202"/>
                <c:pt idx="0">
                  <c:v>0.24</c:v>
                </c:pt>
                <c:pt idx="1">
                  <c:v>0.12</c:v>
                </c:pt>
                <c:pt idx="2">
                  <c:v>7.9999999999999988E-2</c:v>
                </c:pt>
                <c:pt idx="3">
                  <c:v>0.06</c:v>
                </c:pt>
                <c:pt idx="4">
                  <c:v>4.9978962088345874E-2</c:v>
                </c:pt>
                <c:pt idx="5">
                  <c:v>4.4474516503848864E-2</c:v>
                </c:pt>
                <c:pt idx="6">
                  <c:v>4.0296311036778679E-2</c:v>
                </c:pt>
                <c:pt idx="7">
                  <c:v>3.6995631419648324E-2</c:v>
                </c:pt>
                <c:pt idx="8">
                  <c:v>3.4309376807183378E-2</c:v>
                </c:pt>
                <c:pt idx="9">
                  <c:v>3.2072147138748827E-2</c:v>
                </c:pt>
                <c:pt idx="10">
                  <c:v>3.1471737687870885E-2</c:v>
                </c:pt>
                <c:pt idx="11">
                  <c:v>3.1199085676172134E-2</c:v>
                </c:pt>
                <c:pt idx="12">
                  <c:v>3.0950356522444076E-2</c:v>
                </c:pt>
                <c:pt idx="13">
                  <c:v>3.0721837506409409E-2</c:v>
                </c:pt>
                <c:pt idx="14">
                  <c:v>3.0510608231307041E-2</c:v>
                </c:pt>
                <c:pt idx="15">
                  <c:v>3.0314331330207965E-2</c:v>
                </c:pt>
                <c:pt idx="16">
                  <c:v>3.0131107797001559E-2</c:v>
                </c:pt>
                <c:pt idx="17">
                  <c:v>2.9959374432003073E-2</c:v>
                </c:pt>
                <c:pt idx="18">
                  <c:v>2.9797829527087486E-2</c:v>
                </c:pt>
                <c:pt idx="19">
                  <c:v>2.9645377964277912E-2</c:v>
                </c:pt>
                <c:pt idx="20">
                  <c:v>3.1433080718165606E-2</c:v>
                </c:pt>
                <c:pt idx="21">
                  <c:v>3.1860011611492087E-2</c:v>
                </c:pt>
                <c:pt idx="22">
                  <c:v>3.2273378007324161E-2</c:v>
                </c:pt>
                <c:pt idx="23">
                  <c:v>3.267417361892682E-2</c:v>
                </c:pt>
                <c:pt idx="24">
                  <c:v>3.306328150936047E-2</c:v>
                </c:pt>
                <c:pt idx="25">
                  <c:v>3.344149029587859E-2</c:v>
                </c:pt>
                <c:pt idx="26">
                  <c:v>3.3809507455551877E-2</c:v>
                </c:pt>
                <c:pt idx="27">
                  <c:v>3.4167970337855701E-2</c:v>
                </c:pt>
                <c:pt idx="28">
                  <c:v>3.4517455346445805E-2</c:v>
                </c:pt>
                <c:pt idx="29">
                  <c:v>3.4858485646575274E-2</c:v>
                </c:pt>
                <c:pt idx="30">
                  <c:v>3.5191537675731653E-2</c:v>
                </c:pt>
                <c:pt idx="31">
                  <c:v>3.5517046675614283E-2</c:v>
                </c:pt>
                <c:pt idx="32">
                  <c:v>3.5835411418296562E-2</c:v>
                </c:pt>
                <c:pt idx="33">
                  <c:v>3.6146998264617793E-2</c:v>
                </c:pt>
                <c:pt idx="34">
                  <c:v>3.6452144665866298E-2</c:v>
                </c:pt>
                <c:pt idx="35">
                  <c:v>3.6751162198721453E-2</c:v>
                </c:pt>
                <c:pt idx="36">
                  <c:v>3.7044339206805665E-2</c:v>
                </c:pt>
                <c:pt idx="37">
                  <c:v>3.7331943109012937E-2</c:v>
                </c:pt>
                <c:pt idx="38">
                  <c:v>3.7614222424247806E-2</c:v>
                </c:pt>
                <c:pt idx="39">
                  <c:v>3.7891408553741672E-2</c:v>
                </c:pt>
                <c:pt idx="40">
                  <c:v>3.8163717355263985E-2</c:v>
                </c:pt>
                <c:pt idx="41">
                  <c:v>3.8431350537975195E-2</c:v>
                </c:pt>
                <c:pt idx="42">
                  <c:v>3.8694496902111693E-2</c:v>
                </c:pt>
                <c:pt idx="43">
                  <c:v>3.8953333443947205E-2</c:v>
                </c:pt>
                <c:pt idx="44">
                  <c:v>3.9208026343381122E-2</c:v>
                </c:pt>
                <c:pt idx="45">
                  <c:v>3.9458731848935905E-2</c:v>
                </c:pt>
                <c:pt idx="46">
                  <c:v>3.9705597072805403E-2</c:v>
                </c:pt>
                <c:pt idx="47">
                  <c:v>3.9948760706803553E-2</c:v>
                </c:pt>
                <c:pt idx="48">
                  <c:v>4.0188353668557157E-2</c:v>
                </c:pt>
                <c:pt idx="49">
                  <c:v>4.0424499686015511E-2</c:v>
                </c:pt>
                <c:pt idx="50">
                  <c:v>4.065731582727336E-2</c:v>
                </c:pt>
                <c:pt idx="51">
                  <c:v>4.0886912981789612E-2</c:v>
                </c:pt>
                <c:pt idx="52">
                  <c:v>4.1113396298304149E-2</c:v>
                </c:pt>
                <c:pt idx="53">
                  <c:v>4.1336865584088001E-2</c:v>
                </c:pt>
                <c:pt idx="54">
                  <c:v>4.1557415669590023E-2</c:v>
                </c:pt>
                <c:pt idx="55">
                  <c:v>4.1775136742050259E-2</c:v>
                </c:pt>
                <c:pt idx="56">
                  <c:v>4.1990114651225222E-2</c:v>
                </c:pt>
                <c:pt idx="57">
                  <c:v>4.2202431190002075E-2</c:v>
                </c:pt>
                <c:pt idx="58">
                  <c:v>4.241216435235929E-2</c:v>
                </c:pt>
                <c:pt idx="59">
                  <c:v>4.2619388570853768E-2</c:v>
                </c:pt>
                <c:pt idx="60">
                  <c:v>4.2824174935571516E-2</c:v>
                </c:pt>
                <c:pt idx="61">
                  <c:v>4.3026591396267432E-2</c:v>
                </c:pt>
                <c:pt idx="62">
                  <c:v>4.3226702949233975E-2</c:v>
                </c:pt>
                <c:pt idx="63">
                  <c:v>4.3424571810275196E-2</c:v>
                </c:pt>
                <c:pt idx="64">
                  <c:v>4.3620257575019208E-2</c:v>
                </c:pt>
                <c:pt idx="65">
                  <c:v>4.3813817367675617E-2</c:v>
                </c:pt>
                <c:pt idx="66">
                  <c:v>4.4005305979232308E-2</c:v>
                </c:pt>
                <c:pt idx="67">
                  <c:v>4.4194775995987021E-2</c:v>
                </c:pt>
                <c:pt idx="68">
                  <c:v>4.4382277919221322E-2</c:v>
                </c:pt>
                <c:pt idx="69">
                  <c:v>4.4567860276746231E-2</c:v>
                </c:pt>
                <c:pt idx="70">
                  <c:v>4.4751569726979315E-2</c:v>
                </c:pt>
                <c:pt idx="71">
                  <c:v>4.4933451156151043E-2</c:v>
                </c:pt>
                <c:pt idx="72">
                  <c:v>4.5113547769182617E-2</c:v>
                </c:pt>
                <c:pt idx="73">
                  <c:v>4.5291901174728075E-2</c:v>
                </c:pt>
                <c:pt idx="74">
                  <c:v>4.546855146482863E-2</c:v>
                </c:pt>
                <c:pt idx="75">
                  <c:v>4.5643537289588081E-2</c:v>
                </c:pt>
                <c:pt idx="76">
                  <c:v>4.5816895927240822E-2</c:v>
                </c:pt>
                <c:pt idx="77">
                  <c:v>4.5988663349953572E-2</c:v>
                </c:pt>
                <c:pt idx="78">
                  <c:v>4.615887428567101E-2</c:v>
                </c:pt>
                <c:pt idx="79">
                  <c:v>4.6327562276290341E-2</c:v>
                </c:pt>
                <c:pt idx="80">
                  <c:v>4.64947597324257E-2</c:v>
                </c:pt>
                <c:pt idx="81">
                  <c:v>4.6660497985001576E-2</c:v>
                </c:pt>
                <c:pt idx="82">
                  <c:v>4.6824807333895407E-2</c:v>
                </c:pt>
                <c:pt idx="83">
                  <c:v>4.6987717093831212E-2</c:v>
                </c:pt>
                <c:pt idx="84">
                  <c:v>4.7149255637710684E-2</c:v>
                </c:pt>
                <c:pt idx="85">
                  <c:v>4.7309450437552712E-2</c:v>
                </c:pt>
                <c:pt idx="86">
                  <c:v>4.7468328103200223E-2</c:v>
                </c:pt>
                <c:pt idx="87">
                  <c:v>4.7625914418939361E-2</c:v>
                </c:pt>
                <c:pt idx="88">
                  <c:v>4.7782234378166796E-2</c:v>
                </c:pt>
                <c:pt idx="89">
                  <c:v>4.7937312216229433E-2</c:v>
                </c:pt>
                <c:pt idx="90">
                  <c:v>4.8091171441551998E-2</c:v>
                </c:pt>
                <c:pt idx="91">
                  <c:v>4.8243834865159881E-2</c:v>
                </c:pt>
                <c:pt idx="92">
                  <c:v>4.8395324628695974E-2</c:v>
                </c:pt>
                <c:pt idx="93">
                  <c:v>4.8545662231024175E-2</c:v>
                </c:pt>
                <c:pt idx="94">
                  <c:v>4.8694868553504599E-2</c:v>
                </c:pt>
                <c:pt idx="95">
                  <c:v>4.8842963884020277E-2</c:v>
                </c:pt>
                <c:pt idx="96">
                  <c:v>4.8989967939829397E-2</c:v>
                </c:pt>
                <c:pt idx="97">
                  <c:v>4.9135899889311795E-2</c:v>
                </c:pt>
                <c:pt idx="98">
                  <c:v>4.9280778372674042E-2</c:v>
                </c:pt>
                <c:pt idx="99">
                  <c:v>4.942462152167295E-2</c:v>
                </c:pt>
                <c:pt idx="100">
                  <c:v>4.9567446978413227E-2</c:v>
                </c:pt>
                <c:pt idx="101">
                  <c:v>4.9709271913271624E-2</c:v>
                </c:pt>
                <c:pt idx="102">
                  <c:v>4.9850113041996311E-2</c:v>
                </c:pt>
                <c:pt idx="103">
                  <c:v>4.9989986642026696E-2</c:v>
                </c:pt>
                <c:pt idx="104">
                  <c:v>5.0128908568076967E-2</c:v>
                </c:pt>
                <c:pt idx="105">
                  <c:v>5.0266894267022647E-2</c:v>
                </c:pt>
                <c:pt idx="106">
                  <c:v>5.0403958792127973E-2</c:v>
                </c:pt>
                <c:pt idx="107">
                  <c:v>5.0540116816649071E-2</c:v>
                </c:pt>
                <c:pt idx="108">
                  <c:v>5.0675382646845603E-2</c:v>
                </c:pt>
                <c:pt idx="109">
                  <c:v>5.0809770234432262E-2</c:v>
                </c:pt>
                <c:pt idx="110">
                  <c:v>5.0943293188498544E-2</c:v>
                </c:pt>
                <c:pt idx="111">
                  <c:v>5.1075964786924451E-2</c:v>
                </c:pt>
                <c:pt idx="112">
                  <c:v>5.1207797987317602E-2</c:v>
                </c:pt>
                <c:pt idx="113">
                  <c:v>5.1338805437495805E-2</c:v>
                </c:pt>
                <c:pt idx="114">
                  <c:v>5.1468999485537979E-2</c:v>
                </c:pt>
                <c:pt idx="115">
                  <c:v>5.1598392189424545E-2</c:v>
                </c:pt>
                <c:pt idx="116">
                  <c:v>5.1726995326287696E-2</c:v>
                </c:pt>
                <c:pt idx="117">
                  <c:v>5.1854820401290226E-2</c:v>
                </c:pt>
                <c:pt idx="118">
                  <c:v>5.1981878656151149E-2</c:v>
                </c:pt>
                <c:pt idx="119">
                  <c:v>5.2108181077334823E-2</c:v>
                </c:pt>
                <c:pt idx="120">
                  <c:v>5.2233738403919587E-2</c:v>
                </c:pt>
                <c:pt idx="121">
                  <c:v>5.235856113516088E-2</c:v>
                </c:pt>
                <c:pt idx="122">
                  <c:v>5.2482659537763425E-2</c:v>
                </c:pt>
                <c:pt idx="123">
                  <c:v>5.2606043652875585E-2</c:v>
                </c:pt>
                <c:pt idx="124">
                  <c:v>5.272872330281874E-2</c:v>
                </c:pt>
                <c:pt idx="125">
                  <c:v>5.2850708097563988E-2</c:v>
                </c:pt>
                <c:pt idx="126">
                  <c:v>5.2972007440967313E-2</c:v>
                </c:pt>
                <c:pt idx="127">
                  <c:v>5.3092630536774044E-2</c:v>
                </c:pt>
                <c:pt idx="128">
                  <c:v>5.3212586394403204E-2</c:v>
                </c:pt>
                <c:pt idx="129">
                  <c:v>5.3331883834521039E-2</c:v>
                </c:pt>
                <c:pt idx="130">
                  <c:v>5.3450531494413235E-2</c:v>
                </c:pt>
                <c:pt idx="131">
                  <c:v>5.3568537833164488E-2</c:v>
                </c:pt>
                <c:pt idx="132">
                  <c:v>5.3685911136653754E-2</c:v>
                </c:pt>
                <c:pt idx="133">
                  <c:v>5.3802659522373023E-2</c:v>
                </c:pt>
                <c:pt idx="134">
                  <c:v>5.3918790944077248E-2</c:v>
                </c:pt>
                <c:pt idx="135">
                  <c:v>5.4034313196272332E-2</c:v>
                </c:pt>
                <c:pt idx="136">
                  <c:v>5.4149233918548215E-2</c:v>
                </c:pt>
                <c:pt idx="137">
                  <c:v>5.4263560599763311E-2</c:v>
                </c:pt>
                <c:pt idx="138">
                  <c:v>5.4377300582086459E-2</c:v>
                </c:pt>
                <c:pt idx="139">
                  <c:v>5.4490461064902303E-2</c:v>
                </c:pt>
                <c:pt idx="140">
                  <c:v>5.4603049108585676E-2</c:v>
                </c:pt>
                <c:pt idx="141">
                  <c:v>5.471507163814996E-2</c:v>
                </c:pt>
                <c:pt idx="142">
                  <c:v>5.482653544677512E-2</c:v>
                </c:pt>
                <c:pt idx="143">
                  <c:v>5.4937447199219502E-2</c:v>
                </c:pt>
                <c:pt idx="144">
                  <c:v>5.5047813435120427E-2</c:v>
                </c:pt>
                <c:pt idx="145">
                  <c:v>5.5157640572187833E-2</c:v>
                </c:pt>
                <c:pt idx="146">
                  <c:v>5.5266934909295122E-2</c:v>
                </c:pt>
                <c:pt idx="147">
                  <c:v>5.5375702629471238E-2</c:v>
                </c:pt>
                <c:pt idx="148">
                  <c:v>5.5483949802797666E-2</c:v>
                </c:pt>
                <c:pt idx="149">
                  <c:v>5.5591682389214206E-2</c:v>
                </c:pt>
                <c:pt idx="150">
                  <c:v>5.5E-2</c:v>
                </c:pt>
                <c:pt idx="151">
                  <c:v>5.5E-2</c:v>
                </c:pt>
                <c:pt idx="152">
                  <c:v>5.5E-2</c:v>
                </c:pt>
                <c:pt idx="153">
                  <c:v>5.5E-2</c:v>
                </c:pt>
                <c:pt idx="154">
                  <c:v>5.5E-2</c:v>
                </c:pt>
                <c:pt idx="155">
                  <c:v>5.5E-2</c:v>
                </c:pt>
                <c:pt idx="156">
                  <c:v>5.5E-2</c:v>
                </c:pt>
                <c:pt idx="157">
                  <c:v>5.5E-2</c:v>
                </c:pt>
                <c:pt idx="158">
                  <c:v>5.5E-2</c:v>
                </c:pt>
                <c:pt idx="159">
                  <c:v>5.5E-2</c:v>
                </c:pt>
                <c:pt idx="160">
                  <c:v>5.5E-2</c:v>
                </c:pt>
                <c:pt idx="161">
                  <c:v>5.5E-2</c:v>
                </c:pt>
                <c:pt idx="162">
                  <c:v>5.5E-2</c:v>
                </c:pt>
                <c:pt idx="163">
                  <c:v>5.5E-2</c:v>
                </c:pt>
                <c:pt idx="164">
                  <c:v>5.5E-2</c:v>
                </c:pt>
                <c:pt idx="165">
                  <c:v>5.5E-2</c:v>
                </c:pt>
                <c:pt idx="166">
                  <c:v>5.5E-2</c:v>
                </c:pt>
                <c:pt idx="167">
                  <c:v>5.5E-2</c:v>
                </c:pt>
                <c:pt idx="168">
                  <c:v>5.5E-2</c:v>
                </c:pt>
                <c:pt idx="169">
                  <c:v>5.5E-2</c:v>
                </c:pt>
                <c:pt idx="170">
                  <c:v>5.5E-2</c:v>
                </c:pt>
                <c:pt idx="171">
                  <c:v>5.5E-2</c:v>
                </c:pt>
                <c:pt idx="172">
                  <c:v>5.5E-2</c:v>
                </c:pt>
                <c:pt idx="173">
                  <c:v>5.5E-2</c:v>
                </c:pt>
                <c:pt idx="174">
                  <c:v>5.5E-2</c:v>
                </c:pt>
                <c:pt idx="175">
                  <c:v>5.5E-2</c:v>
                </c:pt>
                <c:pt idx="176">
                  <c:v>5.5E-2</c:v>
                </c:pt>
                <c:pt idx="177">
                  <c:v>5.5E-2</c:v>
                </c:pt>
                <c:pt idx="178">
                  <c:v>5.5E-2</c:v>
                </c:pt>
                <c:pt idx="179">
                  <c:v>5.5E-2</c:v>
                </c:pt>
                <c:pt idx="180">
                  <c:v>5.5E-2</c:v>
                </c:pt>
                <c:pt idx="181">
                  <c:v>5.5E-2</c:v>
                </c:pt>
                <c:pt idx="182">
                  <c:v>5.5E-2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5.5E-2</c:v>
                </c:pt>
                <c:pt idx="188">
                  <c:v>5.5E-2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5.5E-2</c:v>
                </c:pt>
                <c:pt idx="196">
                  <c:v>5.5E-2</c:v>
                </c:pt>
                <c:pt idx="197">
                  <c:v>5.5E-2</c:v>
                </c:pt>
                <c:pt idx="198">
                  <c:v>5.5E-2</c:v>
                </c:pt>
                <c:pt idx="199">
                  <c:v>5.5E-2</c:v>
                </c:pt>
                <c:pt idx="200">
                  <c:v>5.5E-2</c:v>
                </c:pt>
                <c:pt idx="201">
                  <c:v>5.5E-2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3-4C9A-870F-43534F777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60959"/>
        <c:axId val="1"/>
      </c:scatterChart>
      <c:valAx>
        <c:axId val="2049760959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Diamètre adimensionnel</a:t>
                </a:r>
              </a:p>
            </c:rich>
          </c:tx>
          <c:layout>
            <c:manualLayout>
              <c:xMode val="edge"/>
              <c:yMode val="edge"/>
              <c:x val="0.45114235057047863"/>
              <c:y val="0.92239103124929889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"/>
        <c:crossesAt val="1E-4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12700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ajorGridlines>
        <c:minorGridlines>
          <c:spPr>
            <a:ln w="3175">
              <a:solidFill>
                <a:sysClr val="window" lastClr="FFFFFF">
                  <a:lumMod val="50000"/>
                </a:sys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fr-CH"/>
                  <a:t>Cisaillement</a:t>
                </a:r>
                <a:r>
                  <a:rPr lang="fr-CH" baseline="0"/>
                  <a:t> adimensionnel </a:t>
                </a:r>
                <a:endParaRPr lang="fr-CH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 w="3175">
            <a:solidFill>
              <a:sysClr val="window" lastClr="FFFFFF">
                <a:lumMod val="50000"/>
              </a:sys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2049760959"/>
        <c:crossesAt val="0.1"/>
        <c:crossBetween val="midCat"/>
      </c:valAx>
      <c:spPr>
        <a:noFill/>
        <a:ln w="12700">
          <a:solidFill>
            <a:sysClr val="windowText" lastClr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732928087068295"/>
          <c:y val="0.93437226596675416"/>
          <c:w val="7.4734702621362781E-2"/>
          <c:h val="3.2154754694124772E-2"/>
        </c:manualLayout>
      </c:layout>
      <c:overlay val="0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fr-FR"/>
    </a:p>
  </c:txPr>
  <c:printSettings>
    <c:headerFooter alignWithMargins="0"/>
    <c:pageMargins b="1" l="0.75000000000000022" r="0.75000000000000022" t="1" header="0.5" footer="0.5"/>
    <c:pageSetup paperSize="9" orientation="landscape" horizontalDpi="1200" verticalDpi="1200"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1</xdr:row>
      <xdr:rowOff>83820</xdr:rowOff>
    </xdr:from>
    <xdr:to>
      <xdr:col>14</xdr:col>
      <xdr:colOff>541020</xdr:colOff>
      <xdr:row>18</xdr:row>
      <xdr:rowOff>60960</xdr:rowOff>
    </xdr:to>
    <xdr:graphicFrame macro="">
      <xdr:nvGraphicFramePr>
        <xdr:cNvPr id="155667" name="Chart 1">
          <a:extLst>
            <a:ext uri="{FF2B5EF4-FFF2-40B4-BE49-F238E27FC236}">
              <a16:creationId xmlns:a16="http://schemas.microsoft.com/office/drawing/2014/main" id="{641A5E5A-DB46-1A89-D616-6B4367DB5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243840</xdr:colOff>
      <xdr:row>11</xdr:row>
      <xdr:rowOff>106680</xdr:rowOff>
    </xdr:from>
    <xdr:to>
      <xdr:col>23</xdr:col>
      <xdr:colOff>594360</xdr:colOff>
      <xdr:row>47</xdr:row>
      <xdr:rowOff>106680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5253DE4-C18A-5FF7-70E4-752A50F64306}"/>
            </a:ext>
          </a:extLst>
        </xdr:cNvPr>
        <xdr:cNvGrpSpPr/>
      </xdr:nvGrpSpPr>
      <xdr:grpSpPr>
        <a:xfrm>
          <a:off x="9311640" y="2621280"/>
          <a:ext cx="12245340" cy="7132320"/>
          <a:chOff x="6004560" y="2286000"/>
          <a:chExt cx="11483340" cy="7132320"/>
        </a:xfrm>
      </xdr:grpSpPr>
      <xdr:graphicFrame macro="">
        <xdr:nvGraphicFramePr>
          <xdr:cNvPr id="86051" name="Chart 2">
            <a:extLst>
              <a:ext uri="{FF2B5EF4-FFF2-40B4-BE49-F238E27FC236}">
                <a16:creationId xmlns:a16="http://schemas.microsoft.com/office/drawing/2014/main" id="{70312EE6-1A92-D511-6161-0F18787B2681}"/>
              </a:ext>
            </a:extLst>
          </xdr:cNvPr>
          <xdr:cNvGraphicFramePr>
            <a:graphicFrameLocks/>
          </xdr:cNvGraphicFramePr>
        </xdr:nvGraphicFramePr>
        <xdr:xfrm>
          <a:off x="6004560" y="2286000"/>
          <a:ext cx="11483340" cy="71323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25495841-B534-5196-8EB8-1EB05356077E}"/>
                  </a:ext>
                </a:extLst>
              </xdr:cNvPr>
              <xdr:cNvSpPr txBox="1"/>
            </xdr:nvSpPr>
            <xdr:spPr>
              <a:xfrm rot="16200000">
                <a:off x="5738093" y="3890010"/>
                <a:ext cx="1302216" cy="31842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fr-CH" sz="1100" b="0" i="1">
                          <a:latin typeface="Cambria Math" panose="02040503050406030204" pitchFamily="18" charset="0"/>
                        </a:rPr>
                        <m:t>𝜃</m:t>
                      </m:r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𝜏</m:t>
                          </m:r>
                        </m:e>
                        <m:sub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</m:sub>
                      </m:sSub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𝜏</m:t>
                          </m:r>
                        </m:num>
                        <m:den>
                          <m:d>
                            <m:dPr>
                              <m:ctrlPr>
                                <a:rPr lang="fr-CH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𝑠</m:t>
                              </m:r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−1</m:t>
                              </m:r>
                            </m:e>
                          </m:d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𝜌</m:t>
                          </m:r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𝑔𝐷</m:t>
                          </m:r>
                        </m:den>
                      </m:f>
                    </m:oMath>
                  </m:oMathPara>
                </a14:m>
                <a:endParaRPr lang="fr-CH" sz="1100"/>
              </a:p>
            </xdr:txBody>
          </xdr:sp>
        </mc:Choice>
        <mc:Fallback xmlns="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25495841-B534-5196-8EB8-1EB05356077E}"/>
                  </a:ext>
                </a:extLst>
              </xdr:cNvPr>
              <xdr:cNvSpPr txBox="1"/>
            </xdr:nvSpPr>
            <xdr:spPr>
              <a:xfrm rot="16200000">
                <a:off x="5738093" y="3890010"/>
                <a:ext cx="1302216" cy="31842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fr-CH" sz="1100" b="0" i="0">
                    <a:latin typeface="Cambria Math" panose="02040503050406030204" pitchFamily="18" charset="0"/>
                  </a:rPr>
                  <a:t>𝜃=𝜏_∗=𝜏/(𝑠−1)𝜌𝑔𝐷</a:t>
                </a:r>
                <a:endParaRPr lang="fr-CH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3" name="TextBox 2">
                <a:extLst>
                  <a:ext uri="{FF2B5EF4-FFF2-40B4-BE49-F238E27FC236}">
                    <a16:creationId xmlns:a16="http://schemas.microsoft.com/office/drawing/2014/main" id="{AD419520-461D-7852-783A-332AD7AA81BE}"/>
                  </a:ext>
                </a:extLst>
              </xdr:cNvPr>
              <xdr:cNvSpPr txBox="1"/>
            </xdr:nvSpPr>
            <xdr:spPr>
              <a:xfrm>
                <a:off x="13129260" y="8804910"/>
                <a:ext cx="669349" cy="3164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fr-CH" sz="1100" b="0" i="1">
                          <a:latin typeface="Cambria Math" panose="02040503050406030204" pitchFamily="18" charset="0"/>
                        </a:rPr>
                        <m:t>𝑅</m:t>
                      </m:r>
                      <m:sSub>
                        <m:sSub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b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</m:sub>
                      </m:sSub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fr-CH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𝑢</m:t>
                              </m:r>
                            </m:e>
                            <m:sub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∗</m:t>
                              </m:r>
                            </m:sub>
                          </m:sSub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num>
                        <m:den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𝜈</m:t>
                          </m:r>
                        </m:den>
                      </m:f>
                    </m:oMath>
                  </m:oMathPara>
                </a14:m>
                <a:endParaRPr lang="fr-CH" sz="1100"/>
              </a:p>
            </xdr:txBody>
          </xdr:sp>
        </mc:Choice>
        <mc:Fallback xmlns="">
          <xdr:sp macro="" textlink="">
            <xdr:nvSpPr>
              <xdr:cNvPr id="3" name="TextBox 2">
                <a:extLst>
                  <a:ext uri="{FF2B5EF4-FFF2-40B4-BE49-F238E27FC236}">
                    <a16:creationId xmlns:a16="http://schemas.microsoft.com/office/drawing/2014/main" id="{AD419520-461D-7852-783A-332AD7AA81BE}"/>
                  </a:ext>
                </a:extLst>
              </xdr:cNvPr>
              <xdr:cNvSpPr txBox="1"/>
            </xdr:nvSpPr>
            <xdr:spPr>
              <a:xfrm>
                <a:off x="13129260" y="8804910"/>
                <a:ext cx="669349" cy="3164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fr-CH" sz="1100" b="0" i="0">
                    <a:latin typeface="Cambria Math" panose="02040503050406030204" pitchFamily="18" charset="0"/>
                  </a:rPr>
                  <a:t>𝑅𝑒_∗=(𝑢_∗ 𝐷)/𝜈</a:t>
                </a:r>
                <a:endParaRPr lang="fr-CH" sz="1100"/>
              </a:p>
            </xdr:txBody>
          </xdr:sp>
        </mc:Fallback>
      </mc:AlternateContent>
    </xdr:grpSp>
    <xdr:clientData/>
  </xdr:twoCellAnchor>
  <xdr:twoCellAnchor>
    <xdr:from>
      <xdr:col>7</xdr:col>
      <xdr:colOff>289560</xdr:colOff>
      <xdr:row>50</xdr:row>
      <xdr:rowOff>152400</xdr:rowOff>
    </xdr:from>
    <xdr:to>
      <xdr:col>24</xdr:col>
      <xdr:colOff>30480</xdr:colOff>
      <xdr:row>86</xdr:row>
      <xdr:rowOff>152400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DE759B9-7FB2-4FC9-9EDB-5DF2463BEF0D}"/>
            </a:ext>
          </a:extLst>
        </xdr:cNvPr>
        <xdr:cNvGrpSpPr/>
      </xdr:nvGrpSpPr>
      <xdr:grpSpPr>
        <a:xfrm>
          <a:off x="9357360" y="10393680"/>
          <a:ext cx="12245340" cy="7132320"/>
          <a:chOff x="3985260" y="1645920"/>
          <a:chExt cx="11483340" cy="7132320"/>
        </a:xfrm>
      </xdr:grpSpPr>
      <xdr:graphicFrame macro="">
        <xdr:nvGraphicFramePr>
          <xdr:cNvPr id="10" name="Chart 2">
            <a:extLst>
              <a:ext uri="{FF2B5EF4-FFF2-40B4-BE49-F238E27FC236}">
                <a16:creationId xmlns:a16="http://schemas.microsoft.com/office/drawing/2014/main" id="{E70085ED-78FC-DC97-CAF1-C0ADE0B8E8C6}"/>
              </a:ext>
            </a:extLst>
          </xdr:cNvPr>
          <xdr:cNvGraphicFramePr>
            <a:graphicFrameLocks/>
          </xdr:cNvGraphicFramePr>
        </xdr:nvGraphicFramePr>
        <xdr:xfrm>
          <a:off x="3985260" y="1645920"/>
          <a:ext cx="11483340" cy="71323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0A793EE0-81A0-1114-F296-BBF16127D278}"/>
                  </a:ext>
                </a:extLst>
              </xdr:cNvPr>
              <xdr:cNvSpPr txBox="1"/>
            </xdr:nvSpPr>
            <xdr:spPr>
              <a:xfrm rot="16200000">
                <a:off x="3718793" y="3249930"/>
                <a:ext cx="1302216" cy="31842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fr-CH" sz="1100" b="0" i="1">
                          <a:latin typeface="Cambria Math" panose="02040503050406030204" pitchFamily="18" charset="0"/>
                        </a:rPr>
                        <m:t>𝜃</m:t>
                      </m:r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𝜏</m:t>
                          </m:r>
                        </m:e>
                        <m:sub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</m:sub>
                      </m:sSub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𝜏</m:t>
                          </m:r>
                        </m:num>
                        <m:den>
                          <m:d>
                            <m:dPr>
                              <m:ctrlPr>
                                <a:rPr lang="fr-CH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𝑠</m:t>
                              </m:r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−1</m:t>
                              </m:r>
                            </m:e>
                          </m:d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𝜌</m:t>
                          </m:r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𝑔𝐷</m:t>
                          </m:r>
                        </m:den>
                      </m:f>
                    </m:oMath>
                  </m:oMathPara>
                </a14:m>
                <a:endParaRPr lang="fr-CH" sz="1100"/>
              </a:p>
            </xdr:txBody>
          </xdr:sp>
        </mc:Choice>
        <mc:Fallback xmlns=""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0A793EE0-81A0-1114-F296-BBF16127D278}"/>
                  </a:ext>
                </a:extLst>
              </xdr:cNvPr>
              <xdr:cNvSpPr txBox="1"/>
            </xdr:nvSpPr>
            <xdr:spPr>
              <a:xfrm rot="16200000">
                <a:off x="3718793" y="3249930"/>
                <a:ext cx="1302216" cy="31842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fr-CH" sz="1100" b="0" i="0">
                    <a:latin typeface="Cambria Math" panose="02040503050406030204" pitchFamily="18" charset="0"/>
                  </a:rPr>
                  <a:t>𝜃=𝜏_∗=𝜏/(𝑠−1)𝜌𝑔𝐷</a:t>
                </a:r>
                <a:endParaRPr lang="fr-CH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13DDC752-3F8F-A8A5-6828-5DA9AA2E0BE8}"/>
                  </a:ext>
                </a:extLst>
              </xdr:cNvPr>
              <xdr:cNvSpPr txBox="1"/>
            </xdr:nvSpPr>
            <xdr:spPr>
              <a:xfrm>
                <a:off x="10850880" y="8042910"/>
                <a:ext cx="1225592" cy="47359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𝑑</m:t>
                          </m:r>
                        </m:e>
                        <m:sub>
                          <m:r>
                            <a:rPr lang="fr-CH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</m:sub>
                      </m:sSub>
                      <m:r>
                        <a:rPr lang="fr-CH" sz="1100" b="0" i="1">
                          <a:latin typeface="Cambria Math" panose="02040503050406030204" pitchFamily="18" charset="0"/>
                        </a:rPr>
                        <m:t>=</m:t>
                      </m:r>
                      <m:r>
                        <a:rPr lang="fr-CH" sz="1100" b="0" i="1">
                          <a:latin typeface="Cambria Math" panose="02040503050406030204" pitchFamily="18" charset="0"/>
                        </a:rPr>
                        <m:t>𝐷</m:t>
                      </m:r>
                      <m:sSup>
                        <m:sSupPr>
                          <m:ctrlPr>
                            <a:rPr lang="fr-CH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fr-CH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fr-CH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d>
                                    <m:dPr>
                                      <m:ctrlP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  <m:t>𝑠</m:t>
                                      </m:r>
                                      <m: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  <m:t>−1</m:t>
                                      </m:r>
                                    </m:e>
                                  </m:d>
                                  <m:r>
                                    <a:rPr lang="fr-CH" sz="1100" b="0" i="1">
                                      <a:latin typeface="Cambria Math" panose="02040503050406030204" pitchFamily="18" charset="0"/>
                                    </a:rPr>
                                    <m:t>𝑔</m:t>
                                  </m:r>
                                </m:num>
                                <m:den>
                                  <m:sSup>
                                    <m:sSupPr>
                                      <m:ctrlP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  <m:t>𝜈</m:t>
                                      </m:r>
                                    </m:e>
                                    <m:sup>
                                      <m:r>
                                        <a:rPr lang="fr-CH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den>
                              </m:f>
                            </m:e>
                          </m:d>
                        </m:e>
                        <m:sup>
                          <m:f>
                            <m:fPr>
                              <m:ctrlPr>
                                <a:rPr lang="fr-CH" sz="11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r>
                                <a:rPr lang="fr-CH" sz="1100" b="0" i="1">
                                  <a:latin typeface="Cambria Math" panose="02040503050406030204" pitchFamily="18" charset="0"/>
                                </a:rPr>
                                <m:t>3</m:t>
                              </m:r>
                            </m:den>
                          </m:f>
                        </m:sup>
                      </m:sSup>
                    </m:oMath>
                  </m:oMathPara>
                </a14:m>
                <a:endParaRPr lang="fr-CH" sz="1100"/>
              </a:p>
            </xdr:txBody>
          </xdr:sp>
        </mc:Choice>
        <mc:Fallback xmlns=""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13DDC752-3F8F-A8A5-6828-5DA9AA2E0BE8}"/>
                  </a:ext>
                </a:extLst>
              </xdr:cNvPr>
              <xdr:cNvSpPr txBox="1"/>
            </xdr:nvSpPr>
            <xdr:spPr>
              <a:xfrm>
                <a:off x="10850880" y="8042910"/>
                <a:ext cx="1225592" cy="47359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fr-CH" sz="1100" b="0" i="0">
                    <a:latin typeface="Cambria Math" panose="02040503050406030204" pitchFamily="18" charset="0"/>
                  </a:rPr>
                  <a:t>𝑑_∗=𝐷((𝑠−1)𝑔/𝜈^2 )^(1/3)</a:t>
                </a:r>
                <a:endParaRPr lang="fr-CH" sz="11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0.74245</cdr:x>
      <cdr:y>0.11017</cdr:y>
    </cdr:from>
    <cdr:to>
      <cdr:x>0.93328</cdr:x>
      <cdr:y>0.17567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7513132" y="617718"/>
          <a:ext cx="1926141" cy="3803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txBody>
        <a:bodyPr xmlns:a="http://schemas.openxmlformats.org/drawingml/2006/main" wrap="square" rtlCol="0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H" sz="2000" b="0" baseline="0">
              <a:latin typeface="Times New Roman" pitchFamily="18" charset="0"/>
              <a:cs typeface="Times New Roman" pitchFamily="18" charset="0"/>
            </a:rPr>
            <a:t>MOUVEMENT</a:t>
          </a:r>
        </a:p>
      </cdr:txBody>
    </cdr:sp>
  </cdr:relSizeAnchor>
  <cdr:relSizeAnchor xmlns:cdr="http://schemas.openxmlformats.org/drawingml/2006/chartDrawing">
    <cdr:from>
      <cdr:x>0.09167</cdr:x>
      <cdr:y>0.73395</cdr:y>
    </cdr:from>
    <cdr:to>
      <cdr:x>0.38896</cdr:x>
      <cdr:y>0.79921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928973" y="4240363"/>
          <a:ext cx="3006966" cy="3804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txBody>
        <a:bodyPr xmlns:a="http://schemas.openxmlformats.org/drawingml/2006/main" wrap="square" rtlCol="0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H" sz="2000" b="0" baseline="0">
              <a:latin typeface="Times New Roman" pitchFamily="18" charset="0"/>
              <a:cs typeface="Times New Roman" pitchFamily="18" charset="0"/>
            </a:rPr>
            <a:t>PAS DE MOUVEMENT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0.74245</cdr:x>
      <cdr:y>0.11017</cdr:y>
    </cdr:from>
    <cdr:to>
      <cdr:x>0.93328</cdr:x>
      <cdr:y>0.17567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7513132" y="617718"/>
          <a:ext cx="1926141" cy="3803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txBody>
        <a:bodyPr xmlns:a="http://schemas.openxmlformats.org/drawingml/2006/main" wrap="square" rtlCol="0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H" sz="2000" b="0" baseline="0">
              <a:latin typeface="Times New Roman" pitchFamily="18" charset="0"/>
              <a:cs typeface="Times New Roman" pitchFamily="18" charset="0"/>
            </a:rPr>
            <a:t>MOUVEMENT</a:t>
          </a:r>
        </a:p>
      </cdr:txBody>
    </cdr:sp>
  </cdr:relSizeAnchor>
  <cdr:relSizeAnchor xmlns:cdr="http://schemas.openxmlformats.org/drawingml/2006/chartDrawing">
    <cdr:from>
      <cdr:x>0.09167</cdr:x>
      <cdr:y>0.73395</cdr:y>
    </cdr:from>
    <cdr:to>
      <cdr:x>0.38896</cdr:x>
      <cdr:y>0.79921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928973" y="4240363"/>
          <a:ext cx="3006966" cy="3804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txBody>
        <a:bodyPr xmlns:a="http://schemas.openxmlformats.org/drawingml/2006/main" wrap="square" rtlCol="0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H" sz="2000" b="0" baseline="0">
              <a:latin typeface="Times New Roman" pitchFamily="18" charset="0"/>
              <a:cs typeface="Times New Roman" pitchFamily="18" charset="0"/>
            </a:rPr>
            <a:t>PAS DE MOUVEMENT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26"/>
  <sheetViews>
    <sheetView workbookViewId="0">
      <selection activeCell="O16" sqref="O16"/>
    </sheetView>
  </sheetViews>
  <sheetFormatPr defaultRowHeight="13.2" x14ac:dyDescent="0.25"/>
  <cols>
    <col min="1" max="1" width="14.6640625" style="7" bestFit="1" customWidth="1"/>
    <col min="2" max="2" width="15.6640625" style="7" hidden="1" customWidth="1"/>
    <col min="3" max="4" width="13.88671875" style="7" hidden="1" customWidth="1"/>
    <col min="5" max="5" width="4.6640625" style="7" customWidth="1"/>
    <col min="6" max="6" width="14" style="7" bestFit="1" customWidth="1"/>
    <col min="7" max="7" width="14.109375" style="7" bestFit="1" customWidth="1"/>
    <col min="8" max="8" width="9.44140625" style="7" customWidth="1"/>
    <col min="9" max="9" width="6" style="7" customWidth="1"/>
    <col min="10" max="10" width="10.109375" style="7" bestFit="1" customWidth="1"/>
    <col min="11" max="11" width="13.44140625" style="7" bestFit="1" customWidth="1"/>
    <col min="12" max="12" width="9.33203125" style="7" customWidth="1"/>
    <col min="13" max="16" width="8.88671875" style="7"/>
    <col min="17" max="17" width="23.6640625" style="7" customWidth="1"/>
    <col min="18" max="18" width="20.44140625" style="7" customWidth="1"/>
    <col min="19" max="16384" width="8.88671875" style="7"/>
  </cols>
  <sheetData>
    <row r="1" spans="1:12" ht="26.4" x14ac:dyDescent="0.25">
      <c r="A1" s="1" t="s">
        <v>3</v>
      </c>
      <c r="B1" s="2"/>
      <c r="C1" s="1"/>
      <c r="D1" s="3"/>
      <c r="E1" s="3"/>
      <c r="F1" s="4" t="s">
        <v>1</v>
      </c>
      <c r="G1" s="4" t="s">
        <v>2</v>
      </c>
      <c r="H1" s="5" t="s">
        <v>6</v>
      </c>
      <c r="J1" s="6" t="s">
        <v>4</v>
      </c>
      <c r="K1" s="6" t="s">
        <v>5</v>
      </c>
      <c r="L1" s="6" t="s">
        <v>6</v>
      </c>
    </row>
    <row r="2" spans="1:12" x14ac:dyDescent="0.25">
      <c r="A2" s="7">
        <v>18846</v>
      </c>
      <c r="B2" s="7">
        <v>1</v>
      </c>
      <c r="C2" s="7">
        <v>1</v>
      </c>
      <c r="D2" s="7">
        <v>20</v>
      </c>
      <c r="E2" s="7">
        <v>35</v>
      </c>
      <c r="F2" s="8">
        <v>563732.40300000005</v>
      </c>
      <c r="G2" s="8">
        <v>123821.478</v>
      </c>
      <c r="H2" s="8">
        <v>395.78300000000002</v>
      </c>
      <c r="I2" s="8"/>
      <c r="J2" s="8">
        <v>0</v>
      </c>
      <c r="K2" s="8">
        <v>0</v>
      </c>
      <c r="L2" s="8">
        <v>395.78300000000002</v>
      </c>
    </row>
    <row r="3" spans="1:12" x14ac:dyDescent="0.25">
      <c r="A3" s="7">
        <v>18846</v>
      </c>
      <c r="B3" s="7">
        <v>1</v>
      </c>
      <c r="C3" s="7">
        <v>2</v>
      </c>
      <c r="D3" s="7">
        <v>20</v>
      </c>
      <c r="E3" s="7">
        <v>35</v>
      </c>
      <c r="F3" s="8">
        <v>563736.424</v>
      </c>
      <c r="G3" s="8">
        <v>123824.8</v>
      </c>
      <c r="H3" s="8">
        <v>395.13400000000001</v>
      </c>
      <c r="I3" s="8"/>
      <c r="J3" s="8">
        <f>SQRT((F3-F2)^2+(G3-G2)^2)</f>
        <v>5.2157573754533804</v>
      </c>
      <c r="K3" s="8">
        <f>K2+J3</f>
        <v>5.2157573754533804</v>
      </c>
      <c r="L3" s="8">
        <v>395.13400000000001</v>
      </c>
    </row>
    <row r="4" spans="1:12" x14ac:dyDescent="0.25">
      <c r="A4" s="7">
        <v>18846</v>
      </c>
      <c r="B4" s="7">
        <v>1</v>
      </c>
      <c r="C4" s="7">
        <v>3</v>
      </c>
      <c r="D4" s="7">
        <v>11</v>
      </c>
      <c r="E4" s="7">
        <v>35</v>
      </c>
      <c r="F4" s="8">
        <v>563740.48199999996</v>
      </c>
      <c r="G4" s="8">
        <v>123828.15399999999</v>
      </c>
      <c r="H4" s="8">
        <v>394.97</v>
      </c>
      <c r="I4" s="8"/>
      <c r="J4" s="8">
        <f>SQRT((F4-F3)^2+(G4-G3)^2)</f>
        <v>5.2646633320307803</v>
      </c>
      <c r="K4" s="8">
        <f t="shared" ref="K4:K67" si="0">K3+J4</f>
        <v>10.480420707484161</v>
      </c>
      <c r="L4" s="8">
        <v>394.97</v>
      </c>
    </row>
    <row r="5" spans="1:12" x14ac:dyDescent="0.25">
      <c r="A5" s="7">
        <v>18846</v>
      </c>
      <c r="B5" s="7">
        <v>1</v>
      </c>
      <c r="C5" s="7">
        <v>4</v>
      </c>
      <c r="D5" s="7">
        <v>10</v>
      </c>
      <c r="E5" s="7">
        <v>32</v>
      </c>
      <c r="F5" s="8">
        <v>563741.755</v>
      </c>
      <c r="G5" s="8">
        <v>123829.205</v>
      </c>
      <c r="H5" s="8">
        <v>395.26799999999997</v>
      </c>
      <c r="I5" s="8"/>
      <c r="J5" s="8">
        <f t="shared" ref="J5:J67" si="1">SQRT((F5-F4)^2+(G5-G4)^2)</f>
        <v>1.6507967773557131</v>
      </c>
      <c r="K5" s="8">
        <f t="shared" si="0"/>
        <v>12.131217484839874</v>
      </c>
      <c r="L5" s="8">
        <v>395.26799999999997</v>
      </c>
    </row>
    <row r="6" spans="1:12" ht="13.95" customHeight="1" x14ac:dyDescent="0.25">
      <c r="A6" s="7">
        <v>18846</v>
      </c>
      <c r="B6" s="7">
        <v>1</v>
      </c>
      <c r="C6" s="7">
        <v>5</v>
      </c>
      <c r="D6" s="7">
        <v>14</v>
      </c>
      <c r="E6" s="7">
        <v>35</v>
      </c>
      <c r="F6" s="8">
        <v>563743.71600000001</v>
      </c>
      <c r="G6" s="8">
        <v>123830.825</v>
      </c>
      <c r="H6" s="8">
        <v>394.86399999999998</v>
      </c>
      <c r="I6" s="8"/>
      <c r="J6" s="8">
        <f t="shared" si="1"/>
        <v>2.5436039393005139</v>
      </c>
      <c r="K6" s="8">
        <f t="shared" si="0"/>
        <v>14.674821424140388</v>
      </c>
      <c r="L6" s="8">
        <v>394.86399999999998</v>
      </c>
    </row>
    <row r="7" spans="1:12" x14ac:dyDescent="0.25">
      <c r="A7" s="7">
        <v>18846</v>
      </c>
      <c r="B7" s="7">
        <v>1</v>
      </c>
      <c r="C7" s="7">
        <v>6</v>
      </c>
      <c r="D7" s="7">
        <v>12</v>
      </c>
      <c r="E7" s="7">
        <v>35</v>
      </c>
      <c r="F7" s="8">
        <v>563745.054</v>
      </c>
      <c r="G7" s="8">
        <v>123831.931</v>
      </c>
      <c r="H7" s="8">
        <v>394.11900000000003</v>
      </c>
      <c r="I7" s="8"/>
      <c r="J7" s="8">
        <f t="shared" si="1"/>
        <v>1.7359377868949044</v>
      </c>
      <c r="K7" s="8">
        <f t="shared" si="0"/>
        <v>16.410759211035291</v>
      </c>
      <c r="L7" s="8">
        <v>394.11900000000003</v>
      </c>
    </row>
    <row r="8" spans="1:12" x14ac:dyDescent="0.25">
      <c r="A8" s="7">
        <v>18846</v>
      </c>
      <c r="B8" s="7">
        <v>1</v>
      </c>
      <c r="C8" s="7">
        <v>7</v>
      </c>
      <c r="D8" s="7">
        <v>12</v>
      </c>
      <c r="E8" s="7">
        <v>35</v>
      </c>
      <c r="F8" s="8">
        <v>563747.10199999996</v>
      </c>
      <c r="G8" s="8">
        <v>123833.62300000001</v>
      </c>
      <c r="H8" s="8">
        <v>393.19799999999998</v>
      </c>
      <c r="I8" s="8"/>
      <c r="J8" s="8">
        <f t="shared" si="1"/>
        <v>2.6565330790026906</v>
      </c>
      <c r="K8" s="8">
        <f t="shared" si="0"/>
        <v>19.067292290037983</v>
      </c>
      <c r="L8" s="8">
        <v>393.19799999999998</v>
      </c>
    </row>
    <row r="9" spans="1:12" x14ac:dyDescent="0.25">
      <c r="A9" s="7">
        <v>18846</v>
      </c>
      <c r="B9" s="7">
        <v>1</v>
      </c>
      <c r="C9" s="7">
        <v>8</v>
      </c>
      <c r="D9" s="7">
        <v>12</v>
      </c>
      <c r="E9" s="7">
        <v>35</v>
      </c>
      <c r="F9" s="8">
        <v>563750.01199999999</v>
      </c>
      <c r="G9" s="8">
        <v>123836.02800000001</v>
      </c>
      <c r="H9" s="8">
        <v>393.54500000000002</v>
      </c>
      <c r="I9" s="8"/>
      <c r="J9" s="8">
        <f t="shared" si="1"/>
        <v>3.7751986702932752</v>
      </c>
      <c r="K9" s="8">
        <f t="shared" si="0"/>
        <v>22.842490960331258</v>
      </c>
      <c r="L9" s="8">
        <v>393.54500000000002</v>
      </c>
    </row>
    <row r="10" spans="1:12" x14ac:dyDescent="0.25">
      <c r="A10" s="7">
        <v>18846</v>
      </c>
      <c r="B10" s="7">
        <v>1</v>
      </c>
      <c r="C10" s="7">
        <v>9</v>
      </c>
      <c r="D10" s="7">
        <v>12</v>
      </c>
      <c r="E10" s="7">
        <v>35</v>
      </c>
      <c r="F10" s="8">
        <v>563751.31400000001</v>
      </c>
      <c r="G10" s="8">
        <v>123837.10400000001</v>
      </c>
      <c r="H10" s="8">
        <v>393.60199999999998</v>
      </c>
      <c r="I10" s="8"/>
      <c r="J10" s="8">
        <f t="shared" si="1"/>
        <v>1.6890766708670992</v>
      </c>
      <c r="K10" s="8">
        <f t="shared" si="0"/>
        <v>24.531567631198357</v>
      </c>
      <c r="L10" s="8">
        <v>393.60199999999998</v>
      </c>
    </row>
    <row r="11" spans="1:12" x14ac:dyDescent="0.25">
      <c r="A11" s="7">
        <v>18846</v>
      </c>
      <c r="B11" s="7">
        <v>1</v>
      </c>
      <c r="C11" s="7">
        <v>10</v>
      </c>
      <c r="D11" s="7">
        <v>12</v>
      </c>
      <c r="E11" s="7">
        <v>35</v>
      </c>
      <c r="F11" s="8">
        <v>563752.27099999995</v>
      </c>
      <c r="G11" s="8">
        <v>123837.894</v>
      </c>
      <c r="H11" s="8">
        <v>393.85700000000003</v>
      </c>
      <c r="I11" s="8"/>
      <c r="J11" s="8">
        <f t="shared" si="1"/>
        <v>1.2409468158904595</v>
      </c>
      <c r="K11" s="8">
        <f t="shared" si="0"/>
        <v>25.772514447088817</v>
      </c>
      <c r="L11" s="8">
        <v>393.85700000000003</v>
      </c>
    </row>
    <row r="12" spans="1:12" x14ac:dyDescent="0.25">
      <c r="A12" s="7">
        <v>18846</v>
      </c>
      <c r="B12" s="7">
        <v>1</v>
      </c>
      <c r="C12" s="7">
        <v>11</v>
      </c>
      <c r="D12" s="7">
        <v>12</v>
      </c>
      <c r="E12" s="7">
        <v>35</v>
      </c>
      <c r="F12" s="8">
        <v>563753.576</v>
      </c>
      <c r="G12" s="8">
        <v>123838.97199999999</v>
      </c>
      <c r="H12" s="8">
        <v>393.81799999999998</v>
      </c>
      <c r="I12" s="8"/>
      <c r="J12" s="8">
        <f t="shared" si="1"/>
        <v>1.6926632861029658</v>
      </c>
      <c r="K12" s="8">
        <f t="shared" si="0"/>
        <v>27.465177733191783</v>
      </c>
      <c r="L12" s="8">
        <v>393.81799999999998</v>
      </c>
    </row>
    <row r="13" spans="1:12" x14ac:dyDescent="0.25">
      <c r="A13" s="7">
        <v>18846</v>
      </c>
      <c r="B13" s="7">
        <v>1</v>
      </c>
      <c r="C13" s="7">
        <v>12</v>
      </c>
      <c r="D13" s="7">
        <v>12</v>
      </c>
      <c r="E13" s="7">
        <v>35</v>
      </c>
      <c r="F13" s="8">
        <v>563755.00899999996</v>
      </c>
      <c r="G13" s="8">
        <v>123840.15700000001</v>
      </c>
      <c r="H13" s="8">
        <v>392.88200000000001</v>
      </c>
      <c r="I13" s="8"/>
      <c r="J13" s="8">
        <f t="shared" si="1"/>
        <v>1.859492941615231</v>
      </c>
      <c r="K13" s="8">
        <f t="shared" si="0"/>
        <v>29.324670674807013</v>
      </c>
      <c r="L13" s="8">
        <v>392.88200000000001</v>
      </c>
    </row>
    <row r="14" spans="1:12" x14ac:dyDescent="0.25">
      <c r="A14" s="7">
        <v>18846</v>
      </c>
      <c r="B14" s="7">
        <v>1</v>
      </c>
      <c r="C14" s="7">
        <v>13</v>
      </c>
      <c r="D14" s="7">
        <v>12</v>
      </c>
      <c r="E14" s="7">
        <v>35</v>
      </c>
      <c r="F14" s="8">
        <v>563756.804</v>
      </c>
      <c r="G14" s="8">
        <v>123841.64</v>
      </c>
      <c r="H14" s="8">
        <v>390.94799999999998</v>
      </c>
      <c r="I14" s="8"/>
      <c r="J14" s="8">
        <f t="shared" si="1"/>
        <v>2.3283715339544488</v>
      </c>
      <c r="K14" s="8">
        <f t="shared" si="0"/>
        <v>31.653042208761462</v>
      </c>
      <c r="L14" s="8">
        <v>390.94799999999998</v>
      </c>
    </row>
    <row r="15" spans="1:12" x14ac:dyDescent="0.25">
      <c r="A15" s="7">
        <v>18846</v>
      </c>
      <c r="B15" s="7">
        <v>1</v>
      </c>
      <c r="C15" s="7">
        <v>14</v>
      </c>
      <c r="D15" s="7">
        <v>12</v>
      </c>
      <c r="E15" s="7">
        <v>35</v>
      </c>
      <c r="F15" s="8">
        <v>563757.16500000004</v>
      </c>
      <c r="G15" s="8">
        <v>123841.93799999999</v>
      </c>
      <c r="H15" s="8">
        <v>389.90600000000001</v>
      </c>
      <c r="I15" s="8"/>
      <c r="J15" s="8">
        <f t="shared" si="1"/>
        <v>0.46810789356873933</v>
      </c>
      <c r="K15" s="8">
        <f t="shared" si="0"/>
        <v>32.121150102330205</v>
      </c>
      <c r="L15" s="8">
        <v>389.90600000000001</v>
      </c>
    </row>
    <row r="16" spans="1:12" x14ac:dyDescent="0.25">
      <c r="A16" s="7">
        <v>18846</v>
      </c>
      <c r="B16" s="7">
        <v>1</v>
      </c>
      <c r="C16" s="7">
        <v>15</v>
      </c>
      <c r="D16" s="7">
        <v>22</v>
      </c>
      <c r="E16" s="7">
        <v>35</v>
      </c>
      <c r="F16" s="8">
        <v>563758.01599999995</v>
      </c>
      <c r="G16" s="8">
        <v>123842.641</v>
      </c>
      <c r="H16" s="8">
        <v>389.30099999999999</v>
      </c>
      <c r="I16" s="8"/>
      <c r="J16" s="8">
        <f t="shared" si="1"/>
        <v>1.1038161078074491</v>
      </c>
      <c r="K16" s="8">
        <f t="shared" si="0"/>
        <v>33.224966210137652</v>
      </c>
      <c r="L16" s="8">
        <v>389.30099999999999</v>
      </c>
    </row>
    <row r="17" spans="1:12" x14ac:dyDescent="0.25">
      <c r="A17" s="7">
        <v>18846</v>
      </c>
      <c r="B17" s="7">
        <v>1</v>
      </c>
      <c r="C17" s="7">
        <v>16</v>
      </c>
      <c r="D17" s="7">
        <v>22</v>
      </c>
      <c r="E17" s="7">
        <v>35</v>
      </c>
      <c r="F17" s="8">
        <v>563758.64</v>
      </c>
      <c r="G17" s="8">
        <v>123843.15700000001</v>
      </c>
      <c r="H17" s="8">
        <v>388.47</v>
      </c>
      <c r="I17" s="8"/>
      <c r="J17" s="8">
        <f t="shared" si="1"/>
        <v>0.80971105963138068</v>
      </c>
      <c r="K17" s="8">
        <f t="shared" si="0"/>
        <v>34.034677269769034</v>
      </c>
      <c r="L17" s="8">
        <v>388.47</v>
      </c>
    </row>
    <row r="18" spans="1:12" x14ac:dyDescent="0.25">
      <c r="A18" s="7">
        <v>18846</v>
      </c>
      <c r="B18" s="7">
        <v>1</v>
      </c>
      <c r="C18" s="7">
        <v>17</v>
      </c>
      <c r="D18" s="7">
        <v>19</v>
      </c>
      <c r="E18" s="7">
        <v>35</v>
      </c>
      <c r="F18" s="8">
        <v>563759.28300000005</v>
      </c>
      <c r="G18" s="8">
        <v>123843.689</v>
      </c>
      <c r="H18" s="8">
        <v>388.18</v>
      </c>
      <c r="I18" s="8"/>
      <c r="J18" s="8">
        <f t="shared" si="1"/>
        <v>0.83454957914012129</v>
      </c>
      <c r="K18" s="8">
        <f t="shared" si="0"/>
        <v>34.869226848909157</v>
      </c>
      <c r="L18" s="8">
        <v>388.18</v>
      </c>
    </row>
    <row r="19" spans="1:12" x14ac:dyDescent="0.25">
      <c r="A19" s="7">
        <v>18846</v>
      </c>
      <c r="B19" s="7">
        <v>1</v>
      </c>
      <c r="C19" s="7">
        <v>18</v>
      </c>
      <c r="D19" s="7">
        <v>19</v>
      </c>
      <c r="E19" s="7">
        <v>35</v>
      </c>
      <c r="F19" s="8">
        <v>563760.53899999999</v>
      </c>
      <c r="G19" s="8">
        <v>123844.726</v>
      </c>
      <c r="H19" s="8">
        <v>387.63</v>
      </c>
      <c r="I19" s="8"/>
      <c r="J19" s="8">
        <f t="shared" si="1"/>
        <v>1.6287740788186598</v>
      </c>
      <c r="K19" s="8">
        <f t="shared" si="0"/>
        <v>36.498000927727816</v>
      </c>
      <c r="L19" s="8">
        <v>387.63</v>
      </c>
    </row>
    <row r="20" spans="1:12" x14ac:dyDescent="0.25">
      <c r="A20" s="7">
        <v>18846</v>
      </c>
      <c r="B20" s="7">
        <v>1</v>
      </c>
      <c r="C20" s="7">
        <v>19</v>
      </c>
      <c r="D20" s="7">
        <v>19</v>
      </c>
      <c r="E20" s="7">
        <v>35</v>
      </c>
      <c r="F20" s="8">
        <v>563761.728</v>
      </c>
      <c r="G20" s="8">
        <v>123845.708</v>
      </c>
      <c r="H20" s="8">
        <v>387.67</v>
      </c>
      <c r="I20" s="8"/>
      <c r="J20" s="8">
        <f t="shared" si="1"/>
        <v>1.5420911127550452</v>
      </c>
      <c r="K20" s="8">
        <f t="shared" si="0"/>
        <v>38.040092040482861</v>
      </c>
      <c r="L20" s="8">
        <v>387.67</v>
      </c>
    </row>
    <row r="21" spans="1:12" x14ac:dyDescent="0.25">
      <c r="A21" s="7">
        <v>18846</v>
      </c>
      <c r="B21" s="7">
        <v>1</v>
      </c>
      <c r="C21" s="7">
        <v>20</v>
      </c>
      <c r="D21" s="7">
        <v>19</v>
      </c>
      <c r="E21" s="7">
        <v>35</v>
      </c>
      <c r="F21" s="8">
        <v>563762.38100000005</v>
      </c>
      <c r="G21" s="8">
        <v>123846.24800000001</v>
      </c>
      <c r="H21" s="8">
        <v>387.71</v>
      </c>
      <c r="I21" s="8"/>
      <c r="J21" s="8">
        <f t="shared" si="1"/>
        <v>0.84735411728111953</v>
      </c>
      <c r="K21" s="8">
        <f t="shared" si="0"/>
        <v>38.887446157763982</v>
      </c>
      <c r="L21" s="8">
        <v>387.71</v>
      </c>
    </row>
    <row r="22" spans="1:12" x14ac:dyDescent="0.25">
      <c r="A22" s="7">
        <v>18846</v>
      </c>
      <c r="B22" s="7">
        <v>1</v>
      </c>
      <c r="C22" s="7">
        <v>21</v>
      </c>
      <c r="D22" s="7">
        <v>19</v>
      </c>
      <c r="E22" s="7">
        <v>35</v>
      </c>
      <c r="F22" s="8">
        <v>563763.74199999997</v>
      </c>
      <c r="G22" s="8">
        <v>123847.37300000001</v>
      </c>
      <c r="H22" s="8">
        <v>387.71</v>
      </c>
      <c r="I22" s="8"/>
      <c r="J22" s="8">
        <f t="shared" si="1"/>
        <v>1.7657706532203947</v>
      </c>
      <c r="K22" s="8">
        <f t="shared" si="0"/>
        <v>40.653216810984375</v>
      </c>
      <c r="L22" s="8">
        <v>387.71</v>
      </c>
    </row>
    <row r="23" spans="1:12" x14ac:dyDescent="0.25">
      <c r="A23" s="7">
        <v>18846</v>
      </c>
      <c r="B23" s="7">
        <v>1</v>
      </c>
      <c r="C23" s="7">
        <v>22</v>
      </c>
      <c r="D23" s="7">
        <v>19</v>
      </c>
      <c r="E23" s="7">
        <v>35</v>
      </c>
      <c r="F23" s="8">
        <v>563764.37199999997</v>
      </c>
      <c r="G23" s="8">
        <v>123847.893</v>
      </c>
      <c r="H23" s="8">
        <v>387.68</v>
      </c>
      <c r="I23" s="8"/>
      <c r="J23" s="8">
        <f t="shared" si="1"/>
        <v>0.81688432473329475</v>
      </c>
      <c r="K23" s="8">
        <f t="shared" si="0"/>
        <v>41.47010113571767</v>
      </c>
      <c r="L23" s="8">
        <v>387.68</v>
      </c>
    </row>
    <row r="24" spans="1:12" x14ac:dyDescent="0.25">
      <c r="A24" s="7">
        <v>18846</v>
      </c>
      <c r="B24" s="7">
        <v>1</v>
      </c>
      <c r="C24" s="7">
        <v>23</v>
      </c>
      <c r="D24" s="7">
        <v>19</v>
      </c>
      <c r="E24" s="7">
        <v>35</v>
      </c>
      <c r="F24" s="8">
        <v>563765.33400000003</v>
      </c>
      <c r="G24" s="8">
        <v>123848.68799999999</v>
      </c>
      <c r="H24" s="8">
        <v>387.68</v>
      </c>
      <c r="I24" s="8"/>
      <c r="J24" s="8">
        <f t="shared" si="1"/>
        <v>1.2479859775287216</v>
      </c>
      <c r="K24" s="8">
        <f t="shared" si="0"/>
        <v>42.718087113246391</v>
      </c>
      <c r="L24" s="8">
        <v>387.68</v>
      </c>
    </row>
    <row r="25" spans="1:12" x14ac:dyDescent="0.25">
      <c r="A25" s="7">
        <v>18846</v>
      </c>
      <c r="B25" s="7">
        <v>1</v>
      </c>
      <c r="C25" s="7">
        <v>24</v>
      </c>
      <c r="D25" s="7">
        <v>19</v>
      </c>
      <c r="E25" s="7">
        <v>35</v>
      </c>
      <c r="F25" s="8">
        <v>563766.03599999996</v>
      </c>
      <c r="G25" s="8">
        <v>123849.268</v>
      </c>
      <c r="H25" s="8">
        <v>387.64</v>
      </c>
      <c r="I25" s="8"/>
      <c r="J25" s="8">
        <f t="shared" si="1"/>
        <v>0.91060639131656251</v>
      </c>
      <c r="K25" s="8">
        <f t="shared" si="0"/>
        <v>43.628693504562953</v>
      </c>
      <c r="L25" s="8">
        <v>387.64</v>
      </c>
    </row>
    <row r="26" spans="1:12" x14ac:dyDescent="0.25">
      <c r="A26" s="7">
        <v>18846</v>
      </c>
      <c r="B26" s="7">
        <v>1</v>
      </c>
      <c r="C26" s="7">
        <v>25</v>
      </c>
      <c r="D26" s="7">
        <v>19</v>
      </c>
      <c r="E26" s="7">
        <v>35</v>
      </c>
      <c r="F26" s="8">
        <v>563766.73300000001</v>
      </c>
      <c r="G26" s="8">
        <v>123849.844</v>
      </c>
      <c r="H26" s="8">
        <v>387.58</v>
      </c>
      <c r="I26" s="8"/>
      <c r="J26" s="8">
        <f t="shared" si="1"/>
        <v>0.90420406992121594</v>
      </c>
      <c r="K26" s="8">
        <f t="shared" si="0"/>
        <v>44.532897574484167</v>
      </c>
      <c r="L26" s="8">
        <v>387.58</v>
      </c>
    </row>
    <row r="27" spans="1:12" x14ac:dyDescent="0.25">
      <c r="A27" s="7">
        <v>18846</v>
      </c>
      <c r="B27" s="7">
        <v>1</v>
      </c>
      <c r="C27" s="7">
        <v>26</v>
      </c>
      <c r="D27" s="7">
        <v>19</v>
      </c>
      <c r="E27" s="7">
        <v>35</v>
      </c>
      <c r="F27" s="8">
        <v>563767.61800000002</v>
      </c>
      <c r="G27" s="8">
        <v>123850.575</v>
      </c>
      <c r="H27" s="8">
        <v>387.69</v>
      </c>
      <c r="I27" s="8"/>
      <c r="J27" s="8">
        <f t="shared" si="1"/>
        <v>1.1478614899090152</v>
      </c>
      <c r="K27" s="8">
        <f t="shared" si="0"/>
        <v>45.680759064393179</v>
      </c>
      <c r="L27" s="8">
        <v>387.69</v>
      </c>
    </row>
    <row r="28" spans="1:12" x14ac:dyDescent="0.25">
      <c r="A28" s="7">
        <v>18846</v>
      </c>
      <c r="B28" s="7">
        <v>1</v>
      </c>
      <c r="C28" s="7">
        <v>27</v>
      </c>
      <c r="D28" s="7">
        <v>19</v>
      </c>
      <c r="E28" s="7">
        <v>35</v>
      </c>
      <c r="F28" s="8">
        <v>563768.44299999997</v>
      </c>
      <c r="G28" s="8">
        <v>123851.25599999999</v>
      </c>
      <c r="H28" s="8">
        <v>387.63</v>
      </c>
      <c r="I28" s="8"/>
      <c r="J28" s="8">
        <f t="shared" si="1"/>
        <v>1.0697597860823171</v>
      </c>
      <c r="K28" s="8">
        <f t="shared" si="0"/>
        <v>46.750518850475494</v>
      </c>
      <c r="L28" s="8">
        <v>387.63</v>
      </c>
    </row>
    <row r="29" spans="1:12" x14ac:dyDescent="0.25">
      <c r="A29" s="7">
        <v>18846</v>
      </c>
      <c r="B29" s="7">
        <v>1</v>
      </c>
      <c r="C29" s="7">
        <v>28</v>
      </c>
      <c r="D29" s="7">
        <v>19</v>
      </c>
      <c r="E29" s="7">
        <v>35</v>
      </c>
      <c r="F29" s="8">
        <v>563769.647</v>
      </c>
      <c r="G29" s="8">
        <v>123852.25199999999</v>
      </c>
      <c r="H29" s="8">
        <v>387.63</v>
      </c>
      <c r="I29" s="8"/>
      <c r="J29" s="8">
        <f t="shared" si="1"/>
        <v>1.5625722383504108</v>
      </c>
      <c r="K29" s="8">
        <f t="shared" si="0"/>
        <v>48.313091088825907</v>
      </c>
      <c r="L29" s="8">
        <v>387.63</v>
      </c>
    </row>
    <row r="30" spans="1:12" x14ac:dyDescent="0.25">
      <c r="A30" s="7">
        <v>18846</v>
      </c>
      <c r="B30" s="7">
        <v>1</v>
      </c>
      <c r="C30" s="7">
        <v>29</v>
      </c>
      <c r="D30" s="7">
        <v>19</v>
      </c>
      <c r="E30" s="7">
        <v>35</v>
      </c>
      <c r="F30" s="8">
        <v>563770.53799999994</v>
      </c>
      <c r="G30" s="8">
        <v>123852.988</v>
      </c>
      <c r="H30" s="8">
        <v>387.66</v>
      </c>
      <c r="I30" s="8"/>
      <c r="J30" s="8">
        <f t="shared" si="1"/>
        <v>1.155671666135583</v>
      </c>
      <c r="K30" s="8">
        <f t="shared" si="0"/>
        <v>49.468762754961489</v>
      </c>
      <c r="L30" s="8">
        <v>387.66</v>
      </c>
    </row>
    <row r="31" spans="1:12" x14ac:dyDescent="0.25">
      <c r="A31" s="7">
        <v>18846</v>
      </c>
      <c r="B31" s="7">
        <v>1</v>
      </c>
      <c r="C31" s="7">
        <v>30</v>
      </c>
      <c r="D31" s="7">
        <v>19</v>
      </c>
      <c r="E31" s="7">
        <v>35</v>
      </c>
      <c r="F31" s="8">
        <v>563771.56000000006</v>
      </c>
      <c r="G31" s="8">
        <v>123853.83199999999</v>
      </c>
      <c r="H31" s="8">
        <v>387.64</v>
      </c>
      <c r="I31" s="8"/>
      <c r="J31" s="8">
        <f t="shared" si="1"/>
        <v>1.3254508667724059</v>
      </c>
      <c r="K31" s="8">
        <f t="shared" si="0"/>
        <v>50.794213621733896</v>
      </c>
      <c r="L31" s="8">
        <v>387.64</v>
      </c>
    </row>
    <row r="32" spans="1:12" x14ac:dyDescent="0.25">
      <c r="A32" s="7">
        <v>18846</v>
      </c>
      <c r="B32" s="7">
        <v>1</v>
      </c>
      <c r="C32" s="7">
        <v>31</v>
      </c>
      <c r="D32" s="7">
        <v>19</v>
      </c>
      <c r="E32" s="7">
        <v>35</v>
      </c>
      <c r="F32" s="8">
        <v>563772.49600000004</v>
      </c>
      <c r="G32" s="8">
        <v>123854.605</v>
      </c>
      <c r="H32" s="8">
        <v>387.73</v>
      </c>
      <c r="I32" s="8"/>
      <c r="J32" s="8">
        <f t="shared" si="1"/>
        <v>1.2139295696115207</v>
      </c>
      <c r="K32" s="8">
        <f t="shared" si="0"/>
        <v>52.008143191345418</v>
      </c>
      <c r="L32" s="8">
        <v>387.73</v>
      </c>
    </row>
    <row r="33" spans="1:12" x14ac:dyDescent="0.25">
      <c r="A33" s="7">
        <v>18846</v>
      </c>
      <c r="B33" s="7">
        <v>1</v>
      </c>
      <c r="C33" s="7">
        <v>32</v>
      </c>
      <c r="D33" s="7">
        <v>19</v>
      </c>
      <c r="E33" s="7">
        <v>35</v>
      </c>
      <c r="F33" s="8">
        <v>563773.42099999997</v>
      </c>
      <c r="G33" s="8">
        <v>123855.37</v>
      </c>
      <c r="H33" s="8">
        <v>387.67</v>
      </c>
      <c r="I33" s="8"/>
      <c r="J33" s="8">
        <f t="shared" si="1"/>
        <v>1.2003541143637106</v>
      </c>
      <c r="K33" s="8">
        <f t="shared" si="0"/>
        <v>53.20849730570913</v>
      </c>
      <c r="L33" s="8">
        <v>387.67</v>
      </c>
    </row>
    <row r="34" spans="1:12" x14ac:dyDescent="0.25">
      <c r="A34" s="7">
        <v>18846</v>
      </c>
      <c r="B34" s="7">
        <v>1</v>
      </c>
      <c r="C34" s="7">
        <v>33</v>
      </c>
      <c r="D34" s="7">
        <v>19</v>
      </c>
      <c r="E34" s="7">
        <v>35</v>
      </c>
      <c r="F34" s="8">
        <v>563774.18000000005</v>
      </c>
      <c r="G34" s="8">
        <v>123855.997</v>
      </c>
      <c r="H34" s="8">
        <v>387.7</v>
      </c>
      <c r="I34" s="8"/>
      <c r="J34" s="8">
        <f t="shared" si="1"/>
        <v>0.98448463681684228</v>
      </c>
      <c r="K34" s="8">
        <f t="shared" si="0"/>
        <v>54.192981942525975</v>
      </c>
      <c r="L34" s="8">
        <v>387.7</v>
      </c>
    </row>
    <row r="35" spans="1:12" x14ac:dyDescent="0.25">
      <c r="A35" s="7">
        <v>18846</v>
      </c>
      <c r="B35" s="7">
        <v>1</v>
      </c>
      <c r="C35" s="7">
        <v>34</v>
      </c>
      <c r="D35" s="7">
        <v>19</v>
      </c>
      <c r="E35" s="7">
        <v>35</v>
      </c>
      <c r="F35" s="8">
        <v>563775.35900000005</v>
      </c>
      <c r="G35" s="8">
        <v>123856.97100000001</v>
      </c>
      <c r="H35" s="8">
        <v>387.87</v>
      </c>
      <c r="I35" s="8"/>
      <c r="J35" s="8">
        <f t="shared" si="1"/>
        <v>1.5292864349142183</v>
      </c>
      <c r="K35" s="8">
        <f t="shared" si="0"/>
        <v>55.722268377440194</v>
      </c>
      <c r="L35" s="8">
        <v>387.87</v>
      </c>
    </row>
    <row r="36" spans="1:12" x14ac:dyDescent="0.25">
      <c r="A36" s="7">
        <v>18846</v>
      </c>
      <c r="B36" s="7">
        <v>1</v>
      </c>
      <c r="C36" s="7">
        <v>35</v>
      </c>
      <c r="D36" s="7">
        <v>19</v>
      </c>
      <c r="E36" s="7">
        <v>35</v>
      </c>
      <c r="F36" s="8">
        <v>563776.26899999997</v>
      </c>
      <c r="G36" s="8">
        <v>123857.723</v>
      </c>
      <c r="H36" s="8">
        <v>387.83</v>
      </c>
      <c r="I36" s="8"/>
      <c r="J36" s="8">
        <f t="shared" si="1"/>
        <v>1.1805100591850621</v>
      </c>
      <c r="K36" s="8">
        <f t="shared" si="0"/>
        <v>56.902778436625255</v>
      </c>
      <c r="L36" s="8">
        <v>387.83</v>
      </c>
    </row>
    <row r="37" spans="1:12" x14ac:dyDescent="0.25">
      <c r="A37" s="7">
        <v>18846</v>
      </c>
      <c r="B37" s="7">
        <v>1</v>
      </c>
      <c r="C37" s="7">
        <v>36</v>
      </c>
      <c r="D37" s="7">
        <v>19</v>
      </c>
      <c r="E37" s="7">
        <v>35</v>
      </c>
      <c r="F37" s="8">
        <v>563777.17200000002</v>
      </c>
      <c r="G37" s="8">
        <v>123858.469</v>
      </c>
      <c r="H37" s="8">
        <v>387.74</v>
      </c>
      <c r="I37" s="8"/>
      <c r="J37" s="8">
        <f t="shared" si="1"/>
        <v>1.1712920216956693</v>
      </c>
      <c r="K37" s="8">
        <f t="shared" si="0"/>
        <v>58.074070458320925</v>
      </c>
      <c r="L37" s="8">
        <v>387.74</v>
      </c>
    </row>
    <row r="38" spans="1:12" x14ac:dyDescent="0.25">
      <c r="A38" s="7">
        <v>18846</v>
      </c>
      <c r="B38" s="7">
        <v>1</v>
      </c>
      <c r="C38" s="7">
        <v>37</v>
      </c>
      <c r="D38" s="7">
        <v>19</v>
      </c>
      <c r="E38" s="7">
        <v>35</v>
      </c>
      <c r="F38" s="8">
        <v>563778.08299999998</v>
      </c>
      <c r="G38" s="8">
        <v>123859.22199999999</v>
      </c>
      <c r="H38" s="8">
        <v>387.71</v>
      </c>
      <c r="I38" s="8"/>
      <c r="J38" s="8">
        <f t="shared" si="1"/>
        <v>1.1819179328232836</v>
      </c>
      <c r="K38" s="8">
        <f t="shared" si="0"/>
        <v>59.255988391144207</v>
      </c>
      <c r="L38" s="8">
        <v>387.71</v>
      </c>
    </row>
    <row r="39" spans="1:12" x14ac:dyDescent="0.25">
      <c r="A39" s="7">
        <v>18846</v>
      </c>
      <c r="B39" s="7">
        <v>1</v>
      </c>
      <c r="C39" s="7">
        <v>38</v>
      </c>
      <c r="D39" s="7">
        <v>19</v>
      </c>
      <c r="E39" s="7">
        <v>35</v>
      </c>
      <c r="F39" s="8">
        <v>563778.97199999995</v>
      </c>
      <c r="G39" s="8">
        <v>123859.95600000001</v>
      </c>
      <c r="H39" s="8">
        <v>387.68</v>
      </c>
      <c r="I39" s="8"/>
      <c r="J39" s="8">
        <f t="shared" si="1"/>
        <v>1.1528560187451704</v>
      </c>
      <c r="K39" s="8">
        <f t="shared" si="0"/>
        <v>60.408844409889376</v>
      </c>
      <c r="L39" s="8">
        <v>387.68</v>
      </c>
    </row>
    <row r="40" spans="1:12" x14ac:dyDescent="0.25">
      <c r="A40" s="7">
        <v>18846</v>
      </c>
      <c r="B40" s="7">
        <v>1</v>
      </c>
      <c r="C40" s="7">
        <v>39</v>
      </c>
      <c r="D40" s="7">
        <v>19</v>
      </c>
      <c r="E40" s="7">
        <v>35</v>
      </c>
      <c r="F40" s="8">
        <v>563779.66599999997</v>
      </c>
      <c r="G40" s="8">
        <v>123860.53</v>
      </c>
      <c r="H40" s="8">
        <v>387.67</v>
      </c>
      <c r="I40" s="8"/>
      <c r="J40" s="8">
        <f t="shared" si="1"/>
        <v>0.90061756590509023</v>
      </c>
      <c r="K40" s="8">
        <f t="shared" si="0"/>
        <v>61.309461975794463</v>
      </c>
      <c r="L40" s="8">
        <v>387.67</v>
      </c>
    </row>
    <row r="41" spans="1:12" x14ac:dyDescent="0.25">
      <c r="A41" s="7">
        <v>18846</v>
      </c>
      <c r="B41" s="7">
        <v>1</v>
      </c>
      <c r="C41" s="7">
        <v>40</v>
      </c>
      <c r="D41" s="7">
        <v>19</v>
      </c>
      <c r="E41" s="7">
        <v>35</v>
      </c>
      <c r="F41" s="8">
        <v>563780.63100000005</v>
      </c>
      <c r="G41" s="8">
        <v>123861.327</v>
      </c>
      <c r="H41" s="8">
        <v>387.82</v>
      </c>
      <c r="I41" s="8"/>
      <c r="J41" s="8">
        <f t="shared" si="1"/>
        <v>1.2515726108265692</v>
      </c>
      <c r="K41" s="8">
        <f t="shared" si="0"/>
        <v>62.561034586621034</v>
      </c>
      <c r="L41" s="8">
        <v>387.82</v>
      </c>
    </row>
    <row r="42" spans="1:12" x14ac:dyDescent="0.25">
      <c r="A42" s="7">
        <v>18846</v>
      </c>
      <c r="B42" s="7">
        <v>1</v>
      </c>
      <c r="C42" s="7">
        <v>41</v>
      </c>
      <c r="D42" s="7">
        <v>19</v>
      </c>
      <c r="E42" s="7">
        <v>35</v>
      </c>
      <c r="F42" s="8">
        <v>563781.54299999995</v>
      </c>
      <c r="G42" s="8">
        <v>123862.08100000001</v>
      </c>
      <c r="H42" s="8">
        <v>387.71</v>
      </c>
      <c r="I42" s="8"/>
      <c r="J42" s="8">
        <f t="shared" si="1"/>
        <v>1.1833258214918121</v>
      </c>
      <c r="K42" s="8">
        <f t="shared" si="0"/>
        <v>63.744360408112847</v>
      </c>
      <c r="L42" s="8">
        <v>387.71</v>
      </c>
    </row>
    <row r="43" spans="1:12" x14ac:dyDescent="0.25">
      <c r="A43" s="7">
        <v>18846</v>
      </c>
      <c r="B43" s="7">
        <v>1</v>
      </c>
      <c r="C43" s="7">
        <v>42</v>
      </c>
      <c r="D43" s="7">
        <v>19</v>
      </c>
      <c r="E43" s="7">
        <v>35</v>
      </c>
      <c r="F43" s="8">
        <v>563782.36800000002</v>
      </c>
      <c r="G43" s="8">
        <v>123862.76300000001</v>
      </c>
      <c r="H43" s="8">
        <v>387.76</v>
      </c>
      <c r="I43" s="8"/>
      <c r="J43" s="8">
        <f t="shared" si="1"/>
        <v>1.07039665550496</v>
      </c>
      <c r="K43" s="8">
        <f t="shared" si="0"/>
        <v>64.814757063617805</v>
      </c>
      <c r="L43" s="8">
        <v>387.76</v>
      </c>
    </row>
    <row r="44" spans="1:12" x14ac:dyDescent="0.25">
      <c r="A44" s="7">
        <v>18846</v>
      </c>
      <c r="B44" s="7">
        <v>1</v>
      </c>
      <c r="C44" s="7">
        <v>43</v>
      </c>
      <c r="D44" s="7">
        <v>19</v>
      </c>
      <c r="E44" s="7">
        <v>35</v>
      </c>
      <c r="F44" s="8">
        <v>563783.679</v>
      </c>
      <c r="G44" s="8">
        <v>123863.84600000001</v>
      </c>
      <c r="H44" s="8">
        <v>387.73</v>
      </c>
      <c r="I44" s="8"/>
      <c r="J44" s="8">
        <f t="shared" si="1"/>
        <v>1.7004734634692302</v>
      </c>
      <c r="K44" s="8">
        <f t="shared" si="0"/>
        <v>66.515230527087041</v>
      </c>
      <c r="L44" s="8">
        <v>387.73</v>
      </c>
    </row>
    <row r="45" spans="1:12" x14ac:dyDescent="0.25">
      <c r="A45" s="7">
        <v>18846</v>
      </c>
      <c r="B45" s="7">
        <v>1</v>
      </c>
      <c r="C45" s="7">
        <v>44</v>
      </c>
      <c r="D45" s="7">
        <v>19</v>
      </c>
      <c r="E45" s="7">
        <v>35</v>
      </c>
      <c r="F45" s="8">
        <v>563784.74699999997</v>
      </c>
      <c r="G45" s="8">
        <v>123864.728</v>
      </c>
      <c r="H45" s="8">
        <v>387.83</v>
      </c>
      <c r="I45" s="8"/>
      <c r="J45" s="8">
        <f t="shared" si="1"/>
        <v>1.3851166015655292</v>
      </c>
      <c r="K45" s="8">
        <f t="shared" si="0"/>
        <v>67.900347128652569</v>
      </c>
      <c r="L45" s="8">
        <v>387.83</v>
      </c>
    </row>
    <row r="46" spans="1:12" x14ac:dyDescent="0.25">
      <c r="A46" s="7">
        <v>18846</v>
      </c>
      <c r="B46" s="7">
        <v>1</v>
      </c>
      <c r="C46" s="7">
        <v>45</v>
      </c>
      <c r="D46" s="7">
        <v>19</v>
      </c>
      <c r="E46" s="7">
        <v>35</v>
      </c>
      <c r="F46" s="8">
        <v>563785.57200000004</v>
      </c>
      <c r="G46" s="8">
        <v>123865.41</v>
      </c>
      <c r="H46" s="8">
        <v>387.84</v>
      </c>
      <c r="I46" s="8"/>
      <c r="J46" s="8">
        <f t="shared" si="1"/>
        <v>1.07039665550496</v>
      </c>
      <c r="K46" s="8">
        <f t="shared" si="0"/>
        <v>68.970743784157534</v>
      </c>
      <c r="L46" s="8">
        <v>387.84</v>
      </c>
    </row>
    <row r="47" spans="1:12" x14ac:dyDescent="0.25">
      <c r="A47" s="7">
        <v>18846</v>
      </c>
      <c r="B47" s="7">
        <v>1</v>
      </c>
      <c r="C47" s="7">
        <v>46</v>
      </c>
      <c r="D47" s="7">
        <v>19</v>
      </c>
      <c r="E47" s="7">
        <v>35</v>
      </c>
      <c r="F47" s="8">
        <v>563786.55900000001</v>
      </c>
      <c r="G47" s="8">
        <v>123866.22500000001</v>
      </c>
      <c r="H47" s="8">
        <v>387.81</v>
      </c>
      <c r="I47" s="8"/>
      <c r="J47" s="8">
        <f t="shared" si="1"/>
        <v>1.2799976562220474</v>
      </c>
      <c r="K47" s="8">
        <f t="shared" si="0"/>
        <v>70.250741440379585</v>
      </c>
      <c r="L47" s="8">
        <v>387.81</v>
      </c>
    </row>
    <row r="48" spans="1:12" x14ac:dyDescent="0.25">
      <c r="A48" s="7">
        <v>18846</v>
      </c>
      <c r="B48" s="7">
        <v>1</v>
      </c>
      <c r="C48" s="7">
        <v>47</v>
      </c>
      <c r="D48" s="7">
        <v>19</v>
      </c>
      <c r="E48" s="7">
        <v>35</v>
      </c>
      <c r="F48" s="8">
        <v>563787.86499999999</v>
      </c>
      <c r="G48" s="8">
        <v>123867.304</v>
      </c>
      <c r="H48" s="8">
        <v>387.88</v>
      </c>
      <c r="I48" s="8"/>
      <c r="J48" s="8">
        <f t="shared" si="1"/>
        <v>1.6940711319036335</v>
      </c>
      <c r="K48" s="8">
        <f t="shared" si="0"/>
        <v>71.944812572283212</v>
      </c>
      <c r="L48" s="8">
        <v>387.88</v>
      </c>
    </row>
    <row r="49" spans="1:12" x14ac:dyDescent="0.25">
      <c r="A49" s="7">
        <v>18846</v>
      </c>
      <c r="B49" s="7">
        <v>1</v>
      </c>
      <c r="C49" s="7">
        <v>48</v>
      </c>
      <c r="D49" s="7">
        <v>19</v>
      </c>
      <c r="E49" s="7">
        <v>35</v>
      </c>
      <c r="F49" s="8">
        <v>563788.94499999995</v>
      </c>
      <c r="G49" s="8">
        <v>123868.197</v>
      </c>
      <c r="H49" s="8">
        <v>387.92</v>
      </c>
      <c r="I49" s="8"/>
      <c r="J49" s="8">
        <f t="shared" si="1"/>
        <v>1.4013739686118869</v>
      </c>
      <c r="K49" s="8">
        <f t="shared" si="0"/>
        <v>73.346186540895104</v>
      </c>
      <c r="L49" s="8">
        <v>387.92</v>
      </c>
    </row>
    <row r="50" spans="1:12" x14ac:dyDescent="0.25">
      <c r="A50" s="7">
        <v>18846</v>
      </c>
      <c r="B50" s="7">
        <v>1</v>
      </c>
      <c r="C50" s="7">
        <v>49</v>
      </c>
      <c r="D50" s="7">
        <v>19</v>
      </c>
      <c r="E50" s="7">
        <v>35</v>
      </c>
      <c r="F50" s="8">
        <v>563790.02599999995</v>
      </c>
      <c r="G50" s="8">
        <v>123869.09</v>
      </c>
      <c r="H50" s="8">
        <v>387.95</v>
      </c>
      <c r="I50" s="8"/>
      <c r="J50" s="8">
        <f t="shared" si="1"/>
        <v>1.4021447856785816</v>
      </c>
      <c r="K50" s="8">
        <f t="shared" si="0"/>
        <v>74.748331326573691</v>
      </c>
      <c r="L50" s="8">
        <v>387.95</v>
      </c>
    </row>
    <row r="51" spans="1:12" x14ac:dyDescent="0.25">
      <c r="A51" s="7">
        <v>18846</v>
      </c>
      <c r="B51" s="7">
        <v>1</v>
      </c>
      <c r="C51" s="7">
        <v>50</v>
      </c>
      <c r="D51" s="7">
        <v>19</v>
      </c>
      <c r="E51" s="7">
        <v>35</v>
      </c>
      <c r="F51" s="8">
        <v>563790.93400000001</v>
      </c>
      <c r="G51" s="8">
        <v>123869.84</v>
      </c>
      <c r="H51" s="8">
        <v>387.88</v>
      </c>
      <c r="I51" s="8"/>
      <c r="J51" s="8">
        <f t="shared" si="1"/>
        <v>1.1776943576743901</v>
      </c>
      <c r="K51" s="8">
        <f t="shared" si="0"/>
        <v>75.926025684248074</v>
      </c>
      <c r="L51" s="8">
        <v>387.88</v>
      </c>
    </row>
    <row r="52" spans="1:12" x14ac:dyDescent="0.25">
      <c r="A52" s="7">
        <v>18846</v>
      </c>
      <c r="B52" s="7">
        <v>1</v>
      </c>
      <c r="C52" s="7">
        <v>51</v>
      </c>
      <c r="D52" s="7">
        <v>19</v>
      </c>
      <c r="E52" s="7">
        <v>35</v>
      </c>
      <c r="F52" s="8">
        <v>563792.34699999995</v>
      </c>
      <c r="G52" s="8">
        <v>123871.008</v>
      </c>
      <c r="H52" s="8">
        <v>387.94</v>
      </c>
      <c r="I52" s="8"/>
      <c r="J52" s="8">
        <f t="shared" si="1"/>
        <v>1.833246573663452</v>
      </c>
      <c r="K52" s="8">
        <f t="shared" si="0"/>
        <v>77.759272257911533</v>
      </c>
      <c r="L52" s="8">
        <v>387.94</v>
      </c>
    </row>
    <row r="53" spans="1:12" x14ac:dyDescent="0.25">
      <c r="A53" s="7">
        <v>18846</v>
      </c>
      <c r="B53" s="7">
        <v>1</v>
      </c>
      <c r="C53" s="7">
        <v>52</v>
      </c>
      <c r="D53" s="7">
        <v>19</v>
      </c>
      <c r="E53" s="7">
        <v>35</v>
      </c>
      <c r="F53" s="8">
        <v>563793.40300000005</v>
      </c>
      <c r="G53" s="8">
        <v>123871.88</v>
      </c>
      <c r="H53" s="8">
        <v>388.02</v>
      </c>
      <c r="I53" s="8"/>
      <c r="J53" s="8">
        <f t="shared" si="1"/>
        <v>1.3694962578312422</v>
      </c>
      <c r="K53" s="8">
        <f t="shared" si="0"/>
        <v>79.128768515742777</v>
      </c>
      <c r="L53" s="8">
        <v>388.02</v>
      </c>
    </row>
    <row r="54" spans="1:12" x14ac:dyDescent="0.25">
      <c r="A54" s="7">
        <v>18846</v>
      </c>
      <c r="B54" s="7">
        <v>1</v>
      </c>
      <c r="C54" s="7">
        <v>53</v>
      </c>
      <c r="D54" s="7">
        <v>19</v>
      </c>
      <c r="E54" s="7">
        <v>35</v>
      </c>
      <c r="F54" s="8">
        <v>563794.46799999999</v>
      </c>
      <c r="G54" s="8">
        <v>123872.76</v>
      </c>
      <c r="H54" s="8">
        <v>388.02</v>
      </c>
      <c r="I54" s="8"/>
      <c r="J54" s="8">
        <f t="shared" si="1"/>
        <v>1.3815299489564319</v>
      </c>
      <c r="K54" s="8">
        <f t="shared" si="0"/>
        <v>80.510298464699204</v>
      </c>
      <c r="L54" s="8">
        <v>388.02</v>
      </c>
    </row>
    <row r="55" spans="1:12" x14ac:dyDescent="0.25">
      <c r="A55" s="7">
        <v>18846</v>
      </c>
      <c r="B55" s="7">
        <v>1</v>
      </c>
      <c r="C55" s="7">
        <v>54</v>
      </c>
      <c r="D55" s="7">
        <v>19</v>
      </c>
      <c r="E55" s="7">
        <v>35</v>
      </c>
      <c r="F55" s="8">
        <v>563795.38300000003</v>
      </c>
      <c r="G55" s="8">
        <v>123873.51700000001</v>
      </c>
      <c r="H55" s="8">
        <v>387.97</v>
      </c>
      <c r="I55" s="8"/>
      <c r="J55" s="8">
        <f t="shared" si="1"/>
        <v>1.1875495779490033</v>
      </c>
      <c r="K55" s="8">
        <f t="shared" si="0"/>
        <v>81.697848042648204</v>
      </c>
      <c r="L55" s="8">
        <v>387.97</v>
      </c>
    </row>
    <row r="56" spans="1:12" x14ac:dyDescent="0.25">
      <c r="A56" s="7">
        <v>18846</v>
      </c>
      <c r="B56" s="7">
        <v>1</v>
      </c>
      <c r="C56" s="7">
        <v>55</v>
      </c>
      <c r="D56" s="7">
        <v>19</v>
      </c>
      <c r="E56" s="7">
        <v>35</v>
      </c>
      <c r="F56" s="8">
        <v>563796.42000000004</v>
      </c>
      <c r="G56" s="8">
        <v>123874.374</v>
      </c>
      <c r="H56" s="8">
        <v>387.95</v>
      </c>
      <c r="I56" s="8"/>
      <c r="J56" s="8">
        <f t="shared" si="1"/>
        <v>1.3452947632412839</v>
      </c>
      <c r="K56" s="8">
        <f t="shared" si="0"/>
        <v>83.043142805889488</v>
      </c>
      <c r="L56" s="8">
        <v>387.95</v>
      </c>
    </row>
    <row r="57" spans="1:12" x14ac:dyDescent="0.25">
      <c r="A57" s="7">
        <v>18846</v>
      </c>
      <c r="B57" s="7">
        <v>1</v>
      </c>
      <c r="C57" s="7">
        <v>56</v>
      </c>
      <c r="D57" s="7">
        <v>19</v>
      </c>
      <c r="E57" s="7">
        <v>35</v>
      </c>
      <c r="F57" s="8">
        <v>563797.22</v>
      </c>
      <c r="G57" s="8">
        <v>123875.034</v>
      </c>
      <c r="H57" s="8">
        <v>387.99</v>
      </c>
      <c r="I57" s="8"/>
      <c r="J57" s="8">
        <f t="shared" si="1"/>
        <v>1.0371113729454766</v>
      </c>
      <c r="K57" s="8">
        <f t="shared" si="0"/>
        <v>84.080254178834963</v>
      </c>
      <c r="L57" s="8">
        <v>387.99</v>
      </c>
    </row>
    <row r="58" spans="1:12" x14ac:dyDescent="0.25">
      <c r="A58" s="7">
        <v>18846</v>
      </c>
      <c r="B58" s="7">
        <v>1</v>
      </c>
      <c r="C58" s="7">
        <v>57</v>
      </c>
      <c r="D58" s="7">
        <v>19</v>
      </c>
      <c r="E58" s="7">
        <v>35</v>
      </c>
      <c r="F58" s="8">
        <v>563798.21</v>
      </c>
      <c r="G58" s="8">
        <v>123875.852</v>
      </c>
      <c r="H58" s="8">
        <v>387.94</v>
      </c>
      <c r="I58" s="8"/>
      <c r="J58" s="8">
        <f t="shared" si="1"/>
        <v>1.2842211647455501</v>
      </c>
      <c r="K58" s="8">
        <f t="shared" si="0"/>
        <v>85.364475343580509</v>
      </c>
      <c r="L58" s="8">
        <v>387.94</v>
      </c>
    </row>
    <row r="59" spans="1:12" x14ac:dyDescent="0.25">
      <c r="A59" s="7">
        <v>18846</v>
      </c>
      <c r="B59" s="7">
        <v>1</v>
      </c>
      <c r="C59" s="7">
        <v>58</v>
      </c>
      <c r="D59" s="7">
        <v>19</v>
      </c>
      <c r="E59" s="7">
        <v>35</v>
      </c>
      <c r="F59" s="8">
        <v>563798.84499999997</v>
      </c>
      <c r="G59" s="8">
        <v>123876.37699999999</v>
      </c>
      <c r="H59" s="8">
        <v>387.78</v>
      </c>
      <c r="I59" s="8"/>
      <c r="J59" s="8">
        <f t="shared" si="1"/>
        <v>0.82392354014539237</v>
      </c>
      <c r="K59" s="8">
        <f t="shared" si="0"/>
        <v>86.188398883725895</v>
      </c>
      <c r="L59" s="8">
        <v>387.78</v>
      </c>
    </row>
    <row r="60" spans="1:12" x14ac:dyDescent="0.25">
      <c r="A60" s="7">
        <v>18846</v>
      </c>
      <c r="B60" s="7">
        <v>1</v>
      </c>
      <c r="C60" s="7">
        <v>59</v>
      </c>
      <c r="D60" s="7">
        <v>19</v>
      </c>
      <c r="E60" s="7">
        <v>35</v>
      </c>
      <c r="F60" s="8">
        <v>563799.78200000001</v>
      </c>
      <c r="G60" s="8">
        <v>123877.151</v>
      </c>
      <c r="H60" s="8">
        <v>387.71</v>
      </c>
      <c r="I60" s="8"/>
      <c r="J60" s="8">
        <f t="shared" si="1"/>
        <v>1.2153374017416501</v>
      </c>
      <c r="K60" s="8">
        <f t="shared" si="0"/>
        <v>87.403736285467545</v>
      </c>
      <c r="L60" s="8">
        <v>387.71</v>
      </c>
    </row>
    <row r="61" spans="1:12" x14ac:dyDescent="0.25">
      <c r="A61" s="7">
        <v>18846</v>
      </c>
      <c r="B61" s="7">
        <v>1</v>
      </c>
      <c r="C61" s="7">
        <v>60</v>
      </c>
      <c r="D61" s="7">
        <v>19</v>
      </c>
      <c r="E61" s="7">
        <v>35</v>
      </c>
      <c r="F61" s="8">
        <v>563800.81400000001</v>
      </c>
      <c r="G61" s="8">
        <v>123878.003</v>
      </c>
      <c r="H61" s="8">
        <v>387.75</v>
      </c>
      <c r="I61" s="8"/>
      <c r="J61" s="8">
        <f t="shared" si="1"/>
        <v>1.3382555809753496</v>
      </c>
      <c r="K61" s="8">
        <f t="shared" si="0"/>
        <v>88.741991866442888</v>
      </c>
      <c r="L61" s="8">
        <v>387.75</v>
      </c>
    </row>
    <row r="62" spans="1:12" x14ac:dyDescent="0.25">
      <c r="A62" s="7">
        <v>18846</v>
      </c>
      <c r="B62" s="7">
        <v>1</v>
      </c>
      <c r="C62" s="7">
        <v>61</v>
      </c>
      <c r="D62" s="7">
        <v>19</v>
      </c>
      <c r="E62" s="7">
        <v>35</v>
      </c>
      <c r="F62" s="8">
        <v>563801.58700000006</v>
      </c>
      <c r="G62" s="8">
        <v>123878.643</v>
      </c>
      <c r="H62" s="8">
        <v>387.62</v>
      </c>
      <c r="I62" s="8"/>
      <c r="J62" s="8">
        <f t="shared" si="1"/>
        <v>1.0035581697482048</v>
      </c>
      <c r="K62" s="8">
        <f t="shared" si="0"/>
        <v>89.745550036191091</v>
      </c>
      <c r="L62" s="8">
        <v>387.62</v>
      </c>
    </row>
    <row r="63" spans="1:12" x14ac:dyDescent="0.25">
      <c r="A63" s="7">
        <v>18846</v>
      </c>
      <c r="B63" s="7">
        <v>1</v>
      </c>
      <c r="C63" s="7">
        <v>62</v>
      </c>
      <c r="D63" s="7">
        <v>19</v>
      </c>
      <c r="E63" s="7">
        <v>35</v>
      </c>
      <c r="F63" s="8">
        <v>563802.32499999995</v>
      </c>
      <c r="G63" s="8">
        <v>123879.25199999999</v>
      </c>
      <c r="H63" s="8">
        <v>387.57</v>
      </c>
      <c r="I63" s="8"/>
      <c r="J63" s="8">
        <f t="shared" si="1"/>
        <v>0.95683070594649655</v>
      </c>
      <c r="K63" s="8">
        <f t="shared" si="0"/>
        <v>90.702380742137592</v>
      </c>
      <c r="L63" s="8">
        <v>387.57</v>
      </c>
    </row>
    <row r="64" spans="1:12" x14ac:dyDescent="0.25">
      <c r="A64" s="7">
        <v>18846</v>
      </c>
      <c r="B64" s="7">
        <v>1</v>
      </c>
      <c r="C64" s="7">
        <v>63</v>
      </c>
      <c r="D64" s="7">
        <v>19</v>
      </c>
      <c r="E64" s="7">
        <v>35</v>
      </c>
      <c r="F64" s="8">
        <v>563803.22499999998</v>
      </c>
      <c r="G64" s="8">
        <v>123879.996</v>
      </c>
      <c r="H64" s="8">
        <v>387.51</v>
      </c>
      <c r="I64" s="8"/>
      <c r="J64" s="8">
        <f t="shared" si="1"/>
        <v>1.1677054423316342</v>
      </c>
      <c r="K64" s="8">
        <f t="shared" si="0"/>
        <v>91.87008618446923</v>
      </c>
      <c r="L64" s="8">
        <v>387.51</v>
      </c>
    </row>
    <row r="65" spans="1:12" x14ac:dyDescent="0.25">
      <c r="A65" s="7">
        <v>18846</v>
      </c>
      <c r="B65" s="7">
        <v>1</v>
      </c>
      <c r="C65" s="7">
        <v>64</v>
      </c>
      <c r="D65" s="7">
        <v>19</v>
      </c>
      <c r="E65" s="7">
        <v>35</v>
      </c>
      <c r="F65" s="8">
        <v>563803.897</v>
      </c>
      <c r="G65" s="8">
        <v>123880.552</v>
      </c>
      <c r="H65" s="8">
        <v>387.58</v>
      </c>
      <c r="I65" s="8"/>
      <c r="J65" s="8">
        <f t="shared" si="1"/>
        <v>0.87219263928563517</v>
      </c>
      <c r="K65" s="8">
        <f t="shared" si="0"/>
        <v>92.742278823754859</v>
      </c>
      <c r="L65" s="8">
        <v>387.58</v>
      </c>
    </row>
    <row r="66" spans="1:12" x14ac:dyDescent="0.25">
      <c r="A66" s="7">
        <v>18846</v>
      </c>
      <c r="B66" s="7">
        <v>1</v>
      </c>
      <c r="C66" s="7">
        <v>65</v>
      </c>
      <c r="D66" s="7">
        <v>19</v>
      </c>
      <c r="E66" s="7">
        <v>35</v>
      </c>
      <c r="F66" s="8">
        <v>563804.53099999996</v>
      </c>
      <c r="G66" s="8">
        <v>123881.075</v>
      </c>
      <c r="H66" s="8">
        <v>387.55</v>
      </c>
      <c r="I66" s="8"/>
      <c r="J66" s="8">
        <f t="shared" si="1"/>
        <v>0.82187894482866408</v>
      </c>
      <c r="K66" s="8">
        <f t="shared" si="0"/>
        <v>93.564157768583527</v>
      </c>
      <c r="L66" s="8">
        <v>387.55</v>
      </c>
    </row>
    <row r="67" spans="1:12" x14ac:dyDescent="0.25">
      <c r="A67" s="7">
        <v>18846</v>
      </c>
      <c r="B67" s="7">
        <v>1</v>
      </c>
      <c r="C67" s="7">
        <v>66</v>
      </c>
      <c r="D67" s="7">
        <v>19</v>
      </c>
      <c r="E67" s="7">
        <v>35</v>
      </c>
      <c r="F67" s="8">
        <v>563805.18299999996</v>
      </c>
      <c r="G67" s="8">
        <v>123881.614</v>
      </c>
      <c r="H67" s="8">
        <v>387.41</v>
      </c>
      <c r="I67" s="8"/>
      <c r="J67" s="8">
        <f t="shared" si="1"/>
        <v>0.84594621578861162</v>
      </c>
      <c r="K67" s="8">
        <f t="shared" si="0"/>
        <v>94.410103984372142</v>
      </c>
      <c r="L67" s="8">
        <v>387.41</v>
      </c>
    </row>
    <row r="68" spans="1:12" x14ac:dyDescent="0.25">
      <c r="A68" s="7">
        <v>18846</v>
      </c>
      <c r="B68" s="7">
        <v>1</v>
      </c>
      <c r="C68" s="7">
        <v>67</v>
      </c>
      <c r="D68" s="7">
        <v>19</v>
      </c>
      <c r="E68" s="7">
        <v>35</v>
      </c>
      <c r="F68" s="8">
        <v>563807.53</v>
      </c>
      <c r="G68" s="8">
        <v>123883.553</v>
      </c>
      <c r="H68" s="8">
        <v>389.27199999999999</v>
      </c>
      <c r="I68" s="8"/>
      <c r="J68" s="8">
        <f t="shared" ref="J68:J86" si="2">SQRT((F68-F67)^2+(G68-G67)^2)</f>
        <v>3.0443603597979148</v>
      </c>
      <c r="K68" s="8">
        <f t="shared" ref="K68:K86" si="3">K67+J68</f>
        <v>97.454464344170063</v>
      </c>
      <c r="L68" s="8">
        <v>389.27199999999999</v>
      </c>
    </row>
    <row r="69" spans="1:12" x14ac:dyDescent="0.25">
      <c r="A69" s="7">
        <v>18846</v>
      </c>
      <c r="B69" s="7">
        <v>1</v>
      </c>
      <c r="C69" s="7">
        <v>68</v>
      </c>
      <c r="D69" s="7">
        <v>19</v>
      </c>
      <c r="E69" s="7">
        <v>35</v>
      </c>
      <c r="F69" s="8">
        <v>563807.83600000001</v>
      </c>
      <c r="G69" s="8">
        <v>123883.806</v>
      </c>
      <c r="H69" s="8">
        <v>389.39499999999998</v>
      </c>
      <c r="I69" s="8"/>
      <c r="J69" s="8">
        <f t="shared" si="2"/>
        <v>0.39704533744603909</v>
      </c>
      <c r="K69" s="8">
        <f t="shared" si="3"/>
        <v>97.851509681616108</v>
      </c>
      <c r="L69" s="8">
        <v>389.39499999999998</v>
      </c>
    </row>
    <row r="70" spans="1:12" x14ac:dyDescent="0.25">
      <c r="A70" s="7">
        <v>18846</v>
      </c>
      <c r="B70" s="7">
        <v>1</v>
      </c>
      <c r="C70" s="7">
        <v>69</v>
      </c>
      <c r="D70" s="7">
        <v>19</v>
      </c>
      <c r="E70" s="7">
        <v>35</v>
      </c>
      <c r="F70" s="8">
        <v>563808.04599999997</v>
      </c>
      <c r="G70" s="8">
        <v>123883.97900000001</v>
      </c>
      <c r="H70" s="8">
        <v>389.55799999999999</v>
      </c>
      <c r="I70" s="8"/>
      <c r="J70" s="8">
        <f t="shared" si="2"/>
        <v>0.27208270799103951</v>
      </c>
      <c r="K70" s="8">
        <f t="shared" si="3"/>
        <v>98.123592389607154</v>
      </c>
      <c r="L70" s="8">
        <v>389.55799999999999</v>
      </c>
    </row>
    <row r="71" spans="1:12" x14ac:dyDescent="0.25">
      <c r="A71" s="7">
        <v>18846</v>
      </c>
      <c r="B71" s="7">
        <v>1</v>
      </c>
      <c r="C71" s="7">
        <v>70</v>
      </c>
      <c r="D71" s="7">
        <v>19</v>
      </c>
      <c r="E71" s="7">
        <v>35</v>
      </c>
      <c r="F71" s="8">
        <v>563808.18700000003</v>
      </c>
      <c r="G71" s="8">
        <v>123884.09600000001</v>
      </c>
      <c r="H71" s="8">
        <v>389.76</v>
      </c>
      <c r="I71" s="8"/>
      <c r="J71" s="8">
        <f t="shared" si="2"/>
        <v>0.18322117786149178</v>
      </c>
      <c r="K71" s="8">
        <f t="shared" si="3"/>
        <v>98.306813567468652</v>
      </c>
      <c r="L71" s="8">
        <v>389.76</v>
      </c>
    </row>
    <row r="72" spans="1:12" x14ac:dyDescent="0.25">
      <c r="A72" s="7">
        <v>18846</v>
      </c>
      <c r="B72" s="7">
        <v>1</v>
      </c>
      <c r="C72" s="7">
        <v>71</v>
      </c>
      <c r="D72" s="7">
        <v>19</v>
      </c>
      <c r="E72" s="7">
        <v>35</v>
      </c>
      <c r="F72" s="8">
        <v>563808.23499999999</v>
      </c>
      <c r="G72" s="8">
        <v>123884.136</v>
      </c>
      <c r="H72" s="8">
        <v>389.904</v>
      </c>
      <c r="I72" s="8"/>
      <c r="J72" s="8">
        <f t="shared" si="2"/>
        <v>6.2481997365950219E-2</v>
      </c>
      <c r="K72" s="8">
        <f t="shared" si="3"/>
        <v>98.369295564834601</v>
      </c>
      <c r="L72" s="8">
        <v>389.904</v>
      </c>
    </row>
    <row r="73" spans="1:12" x14ac:dyDescent="0.25">
      <c r="A73" s="7">
        <v>18846</v>
      </c>
      <c r="B73" s="7">
        <v>1</v>
      </c>
      <c r="C73" s="7">
        <v>72</v>
      </c>
      <c r="D73" s="7">
        <v>19</v>
      </c>
      <c r="E73" s="7">
        <v>35</v>
      </c>
      <c r="F73" s="8">
        <v>563808.45200000005</v>
      </c>
      <c r="G73" s="8">
        <v>123884.315</v>
      </c>
      <c r="H73" s="8">
        <v>390.01299999999998</v>
      </c>
      <c r="I73" s="8"/>
      <c r="J73" s="8">
        <f t="shared" si="2"/>
        <v>0.28130055106311941</v>
      </c>
      <c r="K73" s="8">
        <f t="shared" si="3"/>
        <v>98.650596115897727</v>
      </c>
      <c r="L73" s="8">
        <v>390.01299999999998</v>
      </c>
    </row>
    <row r="74" spans="1:12" x14ac:dyDescent="0.25">
      <c r="A74" s="7">
        <v>18846</v>
      </c>
      <c r="B74" s="7">
        <v>1</v>
      </c>
      <c r="C74" s="7">
        <v>73</v>
      </c>
      <c r="D74" s="7">
        <v>26</v>
      </c>
      <c r="E74" s="7">
        <v>35</v>
      </c>
      <c r="F74" s="8">
        <v>563808.58299999998</v>
      </c>
      <c r="G74" s="8">
        <v>123884.423</v>
      </c>
      <c r="H74" s="8">
        <v>390.505</v>
      </c>
      <c r="I74" s="8"/>
      <c r="J74" s="8">
        <f t="shared" si="2"/>
        <v>0.16977926840939581</v>
      </c>
      <c r="K74" s="8">
        <f t="shared" si="3"/>
        <v>98.820375384307127</v>
      </c>
      <c r="L74" s="8">
        <v>390.505</v>
      </c>
    </row>
    <row r="75" spans="1:12" x14ac:dyDescent="0.25">
      <c r="A75" s="7">
        <v>18846</v>
      </c>
      <c r="B75" s="7">
        <v>1</v>
      </c>
      <c r="C75" s="7">
        <v>74</v>
      </c>
      <c r="D75" s="7">
        <v>26</v>
      </c>
      <c r="E75" s="7">
        <v>35</v>
      </c>
      <c r="F75" s="8">
        <v>563809.32200000004</v>
      </c>
      <c r="G75" s="8">
        <v>123885.033</v>
      </c>
      <c r="H75" s="8">
        <v>391.21300000000002</v>
      </c>
      <c r="I75" s="8"/>
      <c r="J75" s="8">
        <f t="shared" si="2"/>
        <v>0.95823848810659129</v>
      </c>
      <c r="K75" s="8">
        <f t="shared" si="3"/>
        <v>99.778613872413715</v>
      </c>
      <c r="L75" s="8">
        <v>391.21300000000002</v>
      </c>
    </row>
    <row r="76" spans="1:12" x14ac:dyDescent="0.25">
      <c r="A76" s="7">
        <v>18846</v>
      </c>
      <c r="B76" s="7">
        <v>1</v>
      </c>
      <c r="C76" s="7">
        <v>75</v>
      </c>
      <c r="D76" s="7">
        <v>11</v>
      </c>
      <c r="E76" s="7">
        <v>35</v>
      </c>
      <c r="F76" s="8">
        <v>563811.41399999999</v>
      </c>
      <c r="G76" s="8">
        <v>123886.762</v>
      </c>
      <c r="H76" s="8">
        <v>391.423</v>
      </c>
      <c r="I76" s="8"/>
      <c r="J76" s="8">
        <f t="shared" si="2"/>
        <v>2.714020080949465</v>
      </c>
      <c r="K76" s="8">
        <f t="shared" si="3"/>
        <v>102.49263395336318</v>
      </c>
      <c r="L76" s="8">
        <v>391.423</v>
      </c>
    </row>
    <row r="77" spans="1:12" x14ac:dyDescent="0.25">
      <c r="A77" s="7">
        <v>18846</v>
      </c>
      <c r="B77" s="7">
        <v>1</v>
      </c>
      <c r="C77" s="7">
        <v>76</v>
      </c>
      <c r="D77" s="7">
        <v>11</v>
      </c>
      <c r="E77" s="7">
        <v>35</v>
      </c>
      <c r="F77" s="8">
        <v>563811.46400000004</v>
      </c>
      <c r="G77" s="8">
        <v>123886.803</v>
      </c>
      <c r="H77" s="8">
        <v>392.37799999999999</v>
      </c>
      <c r="I77" s="8"/>
      <c r="J77" s="8">
        <f t="shared" si="2"/>
        <v>6.4660652675692973E-2</v>
      </c>
      <c r="K77" s="8">
        <f t="shared" si="3"/>
        <v>102.55729460603888</v>
      </c>
      <c r="L77" s="8">
        <v>392.37799999999999</v>
      </c>
    </row>
    <row r="78" spans="1:12" x14ac:dyDescent="0.25">
      <c r="A78" s="7">
        <v>18846</v>
      </c>
      <c r="B78" s="7">
        <v>1</v>
      </c>
      <c r="C78" s="7">
        <v>77</v>
      </c>
      <c r="D78" s="7">
        <v>12</v>
      </c>
      <c r="E78" s="7">
        <v>35</v>
      </c>
      <c r="F78" s="8">
        <v>563812.01199999999</v>
      </c>
      <c r="G78" s="8">
        <v>123887.25599999999</v>
      </c>
      <c r="H78" s="8">
        <v>392.57499999999999</v>
      </c>
      <c r="I78" s="8"/>
      <c r="J78" s="8">
        <f t="shared" si="2"/>
        <v>0.71099437405758914</v>
      </c>
      <c r="K78" s="8">
        <f t="shared" si="3"/>
        <v>103.26828898009647</v>
      </c>
      <c r="L78" s="8">
        <v>392.57499999999999</v>
      </c>
    </row>
    <row r="79" spans="1:12" x14ac:dyDescent="0.25">
      <c r="A79" s="7">
        <v>18846</v>
      </c>
      <c r="B79" s="7">
        <v>1</v>
      </c>
      <c r="C79" s="7">
        <v>78</v>
      </c>
      <c r="D79" s="7">
        <v>12</v>
      </c>
      <c r="E79" s="7">
        <v>35</v>
      </c>
      <c r="F79" s="8">
        <v>563812.82799999998</v>
      </c>
      <c r="G79" s="8">
        <v>123887.93</v>
      </c>
      <c r="H79" s="8">
        <v>393.334</v>
      </c>
      <c r="I79" s="8"/>
      <c r="J79" s="8">
        <f t="shared" si="2"/>
        <v>1.0583628867194206</v>
      </c>
      <c r="K79" s="8">
        <f t="shared" si="3"/>
        <v>104.32665186681589</v>
      </c>
      <c r="L79" s="8">
        <v>393.334</v>
      </c>
    </row>
    <row r="80" spans="1:12" x14ac:dyDescent="0.25">
      <c r="A80" s="7">
        <v>18846</v>
      </c>
      <c r="B80" s="7">
        <v>1</v>
      </c>
      <c r="C80" s="7">
        <v>79</v>
      </c>
      <c r="D80" s="7">
        <v>12</v>
      </c>
      <c r="E80" s="7">
        <v>35</v>
      </c>
      <c r="F80" s="8">
        <v>563814.06099999999</v>
      </c>
      <c r="G80" s="8">
        <v>123888.94899999999</v>
      </c>
      <c r="H80" s="8">
        <v>393.94600000000003</v>
      </c>
      <c r="I80" s="8"/>
      <c r="J80" s="8">
        <f t="shared" si="2"/>
        <v>1.5995780693729356</v>
      </c>
      <c r="K80" s="8">
        <f t="shared" si="3"/>
        <v>105.92622993618883</v>
      </c>
      <c r="L80" s="8">
        <v>393.94600000000003</v>
      </c>
    </row>
    <row r="81" spans="1:12" x14ac:dyDescent="0.25">
      <c r="A81" s="7">
        <v>18846</v>
      </c>
      <c r="B81" s="7">
        <v>1</v>
      </c>
      <c r="C81" s="7">
        <v>80</v>
      </c>
      <c r="D81" s="7">
        <v>10</v>
      </c>
      <c r="E81" s="7">
        <v>32</v>
      </c>
      <c r="F81" s="8">
        <v>563815.00600000005</v>
      </c>
      <c r="G81" s="8">
        <v>123889.727</v>
      </c>
      <c r="H81" s="8">
        <v>395.60599999999999</v>
      </c>
      <c r="I81" s="8"/>
      <c r="J81" s="8">
        <f t="shared" si="2"/>
        <v>1.2240543289135861</v>
      </c>
      <c r="K81" s="8">
        <f t="shared" si="3"/>
        <v>107.15028426510241</v>
      </c>
      <c r="L81" s="8">
        <v>395.60599999999999</v>
      </c>
    </row>
    <row r="82" spans="1:12" x14ac:dyDescent="0.25">
      <c r="A82" s="7">
        <v>18846</v>
      </c>
      <c r="B82" s="7">
        <v>1</v>
      </c>
      <c r="C82" s="7">
        <v>81</v>
      </c>
      <c r="D82" s="7">
        <v>14</v>
      </c>
      <c r="E82" s="7">
        <v>35</v>
      </c>
      <c r="F82" s="8">
        <v>563815.27800000005</v>
      </c>
      <c r="G82" s="8">
        <v>123889.955</v>
      </c>
      <c r="H82" s="8">
        <v>394.98700000000002</v>
      </c>
      <c r="I82" s="8"/>
      <c r="J82" s="8">
        <f t="shared" si="2"/>
        <v>0.35491970922978361</v>
      </c>
      <c r="K82" s="8">
        <f t="shared" si="3"/>
        <v>107.5052039743322</v>
      </c>
      <c r="L82" s="8">
        <v>394.98700000000002</v>
      </c>
    </row>
    <row r="83" spans="1:12" x14ac:dyDescent="0.25">
      <c r="A83" s="7">
        <v>18846</v>
      </c>
      <c r="B83" s="7">
        <v>1</v>
      </c>
      <c r="C83" s="7">
        <v>82</v>
      </c>
      <c r="D83" s="7">
        <v>14</v>
      </c>
      <c r="E83" s="7">
        <v>35</v>
      </c>
      <c r="F83" s="8">
        <v>563815.63199999998</v>
      </c>
      <c r="G83" s="8">
        <v>123890.247</v>
      </c>
      <c r="H83" s="8">
        <v>395.08699999999999</v>
      </c>
      <c r="I83" s="8"/>
      <c r="J83" s="8">
        <f t="shared" si="2"/>
        <v>0.45888996497410151</v>
      </c>
      <c r="K83" s="8">
        <f t="shared" si="3"/>
        <v>107.96409393930631</v>
      </c>
      <c r="L83" s="8">
        <v>395.08699999999999</v>
      </c>
    </row>
    <row r="84" spans="1:12" x14ac:dyDescent="0.25">
      <c r="A84" s="7">
        <v>18846</v>
      </c>
      <c r="B84" s="7">
        <v>1</v>
      </c>
      <c r="C84" s="7">
        <v>83</v>
      </c>
      <c r="D84" s="7">
        <v>11</v>
      </c>
      <c r="E84" s="7">
        <v>35</v>
      </c>
      <c r="F84" s="8">
        <v>563817.86399999994</v>
      </c>
      <c r="G84" s="8">
        <v>123892.092</v>
      </c>
      <c r="H84" s="8">
        <v>395.06099999999998</v>
      </c>
      <c r="I84" s="8"/>
      <c r="J84" s="8">
        <f t="shared" si="2"/>
        <v>2.8958330407372466</v>
      </c>
      <c r="K84" s="8">
        <f t="shared" si="3"/>
        <v>110.85992698004355</v>
      </c>
      <c r="L84" s="8">
        <v>395.06099999999998</v>
      </c>
    </row>
    <row r="85" spans="1:12" x14ac:dyDescent="0.25">
      <c r="A85" s="7">
        <v>18846</v>
      </c>
      <c r="B85" s="7">
        <v>1</v>
      </c>
      <c r="C85" s="7">
        <v>84</v>
      </c>
      <c r="D85" s="7">
        <v>14</v>
      </c>
      <c r="E85" s="7">
        <v>35</v>
      </c>
      <c r="F85" s="8">
        <v>563818.30799999996</v>
      </c>
      <c r="G85" s="8">
        <v>123892.459</v>
      </c>
      <c r="H85" s="8">
        <v>394.95400000000001</v>
      </c>
      <c r="I85" s="8"/>
      <c r="J85" s="8">
        <f t="shared" si="2"/>
        <v>0.57604253316445042</v>
      </c>
      <c r="K85" s="8">
        <f t="shared" si="3"/>
        <v>111.43596951320801</v>
      </c>
      <c r="L85" s="8">
        <v>394.95400000000001</v>
      </c>
    </row>
    <row r="86" spans="1:12" x14ac:dyDescent="0.25">
      <c r="A86" s="7">
        <v>18846</v>
      </c>
      <c r="B86" s="7">
        <v>1</v>
      </c>
      <c r="C86" s="7">
        <v>85</v>
      </c>
      <c r="D86" s="7">
        <v>14</v>
      </c>
      <c r="E86" s="7">
        <v>35</v>
      </c>
      <c r="F86" s="8">
        <v>563821.11399999994</v>
      </c>
      <c r="G86" s="8">
        <v>123894.777</v>
      </c>
      <c r="H86" s="8">
        <v>392.45699999999999</v>
      </c>
      <c r="I86" s="8"/>
      <c r="J86" s="8">
        <f t="shared" si="2"/>
        <v>3.6396098691889294</v>
      </c>
      <c r="K86" s="8">
        <f t="shared" si="3"/>
        <v>115.07557938239694</v>
      </c>
      <c r="L86" s="8">
        <v>392.45699999999999</v>
      </c>
    </row>
    <row r="87" spans="1:12" x14ac:dyDescent="0.25">
      <c r="A87" s="7">
        <v>18846</v>
      </c>
      <c r="B87" s="7">
        <v>1</v>
      </c>
      <c r="C87" s="7">
        <v>86</v>
      </c>
      <c r="D87" s="7">
        <v>20</v>
      </c>
      <c r="E87" s="7">
        <v>35</v>
      </c>
      <c r="F87" s="8">
        <v>563822.89800000004</v>
      </c>
      <c r="G87" s="8">
        <v>123896.251</v>
      </c>
      <c r="H87" s="8">
        <v>391.85899999999998</v>
      </c>
      <c r="I87" s="8"/>
      <c r="J87" s="8">
        <f>SQRT((F87-F86)^2+(G87-G86)^2)</f>
        <v>2.3141590265943344</v>
      </c>
      <c r="K87" s="8">
        <f>K86+J87</f>
        <v>117.38973840899128</v>
      </c>
      <c r="L87" s="8">
        <v>391.85899999999998</v>
      </c>
    </row>
    <row r="88" spans="1:12" x14ac:dyDescent="0.25">
      <c r="A88" s="7">
        <v>18846</v>
      </c>
      <c r="B88" s="7">
        <v>1</v>
      </c>
      <c r="C88" s="7">
        <v>87</v>
      </c>
      <c r="D88" s="7">
        <v>20</v>
      </c>
      <c r="E88" s="7">
        <v>35</v>
      </c>
      <c r="F88" s="8">
        <v>563826.30299999996</v>
      </c>
      <c r="G88" s="8">
        <v>123899.064</v>
      </c>
      <c r="H88" s="8">
        <v>391.74700000000001</v>
      </c>
      <c r="I88" s="8"/>
      <c r="J88" s="8">
        <f>SQRT((F88-F87)^2+(G88-G87)^2)</f>
        <v>4.4166722766543769</v>
      </c>
      <c r="K88" s="8">
        <f>K87+J88</f>
        <v>121.80641068564566</v>
      </c>
      <c r="L88" s="8">
        <v>391.74700000000001</v>
      </c>
    </row>
    <row r="89" spans="1:12" x14ac:dyDescent="0.25">
      <c r="J89" s="9"/>
      <c r="K89" s="9"/>
      <c r="L89" s="9"/>
    </row>
    <row r="90" spans="1:12" x14ac:dyDescent="0.25">
      <c r="J90" s="9"/>
      <c r="K90" s="9"/>
      <c r="L90" s="9"/>
    </row>
    <row r="91" spans="1:12" x14ac:dyDescent="0.25">
      <c r="J91" s="9"/>
      <c r="K91" s="9"/>
      <c r="L91" s="9"/>
    </row>
    <row r="92" spans="1:12" x14ac:dyDescent="0.25">
      <c r="J92" s="9"/>
      <c r="K92" s="9"/>
      <c r="L92" s="9"/>
    </row>
    <row r="93" spans="1:12" x14ac:dyDescent="0.25">
      <c r="J93" s="9"/>
      <c r="K93" s="9"/>
      <c r="L93" s="9"/>
    </row>
    <row r="94" spans="1:12" x14ac:dyDescent="0.25">
      <c r="J94" s="9"/>
      <c r="K94" s="9"/>
      <c r="L94" s="9"/>
    </row>
    <row r="95" spans="1:12" x14ac:dyDescent="0.25">
      <c r="J95" s="9"/>
      <c r="K95" s="9"/>
      <c r="L95" s="9"/>
    </row>
    <row r="96" spans="1:12" x14ac:dyDescent="0.25">
      <c r="J96" s="9"/>
      <c r="K96" s="9"/>
      <c r="L96" s="9"/>
    </row>
    <row r="97" spans="10:12" x14ac:dyDescent="0.25">
      <c r="J97" s="9"/>
      <c r="K97" s="9"/>
      <c r="L97" s="9"/>
    </row>
    <row r="98" spans="10:12" x14ac:dyDescent="0.25">
      <c r="J98" s="9"/>
      <c r="K98" s="9"/>
      <c r="L98" s="9"/>
    </row>
    <row r="99" spans="10:12" x14ac:dyDescent="0.25">
      <c r="J99" s="9"/>
      <c r="K99" s="9"/>
      <c r="L99" s="9"/>
    </row>
    <row r="100" spans="10:12" x14ac:dyDescent="0.25">
      <c r="J100" s="9"/>
      <c r="K100" s="9"/>
      <c r="L100" s="9"/>
    </row>
    <row r="101" spans="10:12" x14ac:dyDescent="0.25">
      <c r="J101" s="9"/>
      <c r="K101" s="9"/>
      <c r="L101" s="9"/>
    </row>
    <row r="102" spans="10:12" x14ac:dyDescent="0.25">
      <c r="J102" s="9"/>
      <c r="K102" s="9"/>
      <c r="L102" s="9"/>
    </row>
    <row r="103" spans="10:12" x14ac:dyDescent="0.25">
      <c r="J103" s="9"/>
      <c r="K103" s="9"/>
      <c r="L103" s="9"/>
    </row>
    <row r="104" spans="10:12" x14ac:dyDescent="0.25">
      <c r="J104" s="9"/>
      <c r="K104" s="9"/>
      <c r="L104" s="9"/>
    </row>
    <row r="105" spans="10:12" x14ac:dyDescent="0.25">
      <c r="J105" s="9"/>
      <c r="K105" s="9"/>
      <c r="L105" s="9"/>
    </row>
    <row r="106" spans="10:12" x14ac:dyDescent="0.25">
      <c r="J106" s="9"/>
      <c r="K106" s="9"/>
      <c r="L106" s="9"/>
    </row>
    <row r="107" spans="10:12" x14ac:dyDescent="0.25">
      <c r="J107" s="9"/>
      <c r="K107" s="9"/>
      <c r="L107" s="9"/>
    </row>
    <row r="108" spans="10:12" x14ac:dyDescent="0.25">
      <c r="J108" s="9"/>
      <c r="K108" s="9"/>
      <c r="L108" s="9"/>
    </row>
    <row r="109" spans="10:12" x14ac:dyDescent="0.25">
      <c r="J109" s="9"/>
      <c r="K109" s="9"/>
      <c r="L109" s="9"/>
    </row>
    <row r="110" spans="10:12" x14ac:dyDescent="0.25">
      <c r="J110" s="9"/>
      <c r="K110" s="9"/>
      <c r="L110" s="9"/>
    </row>
    <row r="111" spans="10:12" x14ac:dyDescent="0.25">
      <c r="J111" s="9"/>
      <c r="K111" s="9"/>
      <c r="L111" s="9"/>
    </row>
    <row r="112" spans="10:12" x14ac:dyDescent="0.25">
      <c r="J112" s="9"/>
      <c r="K112" s="9"/>
      <c r="L112" s="9"/>
    </row>
    <row r="113" spans="10:12" x14ac:dyDescent="0.25">
      <c r="J113" s="9"/>
      <c r="K113" s="9"/>
      <c r="L113" s="9"/>
    </row>
    <row r="114" spans="10:12" x14ac:dyDescent="0.25">
      <c r="J114" s="9"/>
      <c r="K114" s="9"/>
      <c r="L114" s="9"/>
    </row>
    <row r="115" spans="10:12" x14ac:dyDescent="0.25">
      <c r="J115" s="9"/>
      <c r="K115" s="9"/>
      <c r="L115" s="9"/>
    </row>
    <row r="116" spans="10:12" x14ac:dyDescent="0.25">
      <c r="J116" s="9"/>
      <c r="K116" s="9"/>
      <c r="L116" s="9"/>
    </row>
    <row r="117" spans="10:12" x14ac:dyDescent="0.25">
      <c r="J117" s="9"/>
      <c r="K117" s="9"/>
      <c r="L117" s="9"/>
    </row>
    <row r="118" spans="10:12" x14ac:dyDescent="0.25">
      <c r="J118" s="9"/>
      <c r="K118" s="9"/>
      <c r="L118" s="9"/>
    </row>
    <row r="119" spans="10:12" x14ac:dyDescent="0.25">
      <c r="J119" s="9"/>
      <c r="K119" s="9"/>
      <c r="L119" s="9"/>
    </row>
    <row r="120" spans="10:12" x14ac:dyDescent="0.25">
      <c r="J120" s="9"/>
      <c r="K120" s="9"/>
      <c r="L120" s="9"/>
    </row>
    <row r="121" spans="10:12" x14ac:dyDescent="0.25">
      <c r="J121" s="9"/>
      <c r="K121" s="9"/>
      <c r="L121" s="9"/>
    </row>
    <row r="122" spans="10:12" x14ac:dyDescent="0.25">
      <c r="J122" s="9"/>
      <c r="K122" s="9"/>
      <c r="L122" s="9"/>
    </row>
    <row r="123" spans="10:12" x14ac:dyDescent="0.25">
      <c r="J123" s="9"/>
      <c r="K123" s="9"/>
      <c r="L123" s="9"/>
    </row>
    <row r="124" spans="10:12" x14ac:dyDescent="0.25">
      <c r="J124" s="9"/>
      <c r="K124" s="9"/>
      <c r="L124" s="9"/>
    </row>
    <row r="125" spans="10:12" x14ac:dyDescent="0.25">
      <c r="J125" s="9"/>
      <c r="K125" s="9"/>
      <c r="L125" s="9"/>
    </row>
    <row r="126" spans="10:12" x14ac:dyDescent="0.25">
      <c r="J126" s="9"/>
      <c r="K126" s="9"/>
      <c r="L126" s="9"/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126"/>
  <sheetViews>
    <sheetView workbookViewId="0">
      <selection activeCell="N10" sqref="N10"/>
    </sheetView>
  </sheetViews>
  <sheetFormatPr defaultRowHeight="13.2" x14ac:dyDescent="0.25"/>
  <cols>
    <col min="1" max="1" width="14.6640625" style="7" bestFit="1" customWidth="1"/>
    <col min="2" max="2" width="15.6640625" style="7" hidden="1" customWidth="1"/>
    <col min="3" max="4" width="13.88671875" style="7" hidden="1" customWidth="1"/>
    <col min="5" max="5" width="4.6640625" style="7" customWidth="1"/>
    <col min="6" max="6" width="14" style="7" bestFit="1" customWidth="1"/>
    <col min="7" max="7" width="14.109375" style="7" bestFit="1" customWidth="1"/>
    <col min="8" max="8" width="9.44140625" style="7" customWidth="1"/>
    <col min="9" max="9" width="6" style="7" customWidth="1"/>
    <col min="10" max="10" width="10.109375" style="7" bestFit="1" customWidth="1"/>
    <col min="11" max="11" width="13.44140625" style="7" bestFit="1" customWidth="1"/>
    <col min="12" max="12" width="9.33203125" style="7" customWidth="1"/>
    <col min="13" max="16384" width="8.88671875" style="7"/>
  </cols>
  <sheetData>
    <row r="1" spans="1:12" ht="26.4" x14ac:dyDescent="0.25">
      <c r="A1" s="1" t="s">
        <v>3</v>
      </c>
      <c r="B1" s="2"/>
      <c r="C1" s="1"/>
      <c r="D1" s="3"/>
      <c r="E1" s="3"/>
      <c r="F1" s="4" t="s">
        <v>1</v>
      </c>
      <c r="G1" s="4" t="s">
        <v>2</v>
      </c>
      <c r="H1" s="5" t="s">
        <v>6</v>
      </c>
      <c r="J1" s="6" t="s">
        <v>4</v>
      </c>
      <c r="K1" s="6" t="s">
        <v>5</v>
      </c>
      <c r="L1" s="6" t="s">
        <v>6</v>
      </c>
    </row>
    <row r="2" spans="1:12" x14ac:dyDescent="0.25">
      <c r="A2" s="7">
        <v>18947</v>
      </c>
      <c r="B2" s="7">
        <v>1</v>
      </c>
      <c r="C2" s="7">
        <v>1</v>
      </c>
      <c r="D2" s="7">
        <v>14</v>
      </c>
      <c r="E2" s="7">
        <v>35</v>
      </c>
      <c r="F2" s="8">
        <v>563791.304</v>
      </c>
      <c r="G2" s="8">
        <v>123741.844</v>
      </c>
      <c r="H2" s="8">
        <v>395.45600000000002</v>
      </c>
      <c r="I2" s="8"/>
      <c r="J2" s="8">
        <v>0</v>
      </c>
      <c r="K2" s="8">
        <v>0</v>
      </c>
      <c r="L2" s="8">
        <v>395.45600000000002</v>
      </c>
    </row>
    <row r="3" spans="1:12" x14ac:dyDescent="0.25">
      <c r="A3" s="7">
        <v>18947</v>
      </c>
      <c r="B3" s="7">
        <v>1</v>
      </c>
      <c r="C3" s="7">
        <v>2</v>
      </c>
      <c r="D3" s="7">
        <v>14</v>
      </c>
      <c r="E3" s="7">
        <v>35</v>
      </c>
      <c r="F3" s="8">
        <v>563795.66099999996</v>
      </c>
      <c r="G3" s="8">
        <v>123745.342</v>
      </c>
      <c r="H3" s="8">
        <v>395.27600000000001</v>
      </c>
      <c r="I3" s="8"/>
      <c r="J3" s="8">
        <f>SQRT((F3-F2)^2+(G3-G2)^2)</f>
        <v>5.587437068969912</v>
      </c>
      <c r="K3" s="8">
        <f>K2+J3</f>
        <v>5.587437068969912</v>
      </c>
      <c r="L3" s="8">
        <v>395.27600000000001</v>
      </c>
    </row>
    <row r="4" spans="1:12" x14ac:dyDescent="0.25">
      <c r="A4" s="7">
        <v>18947</v>
      </c>
      <c r="B4" s="7">
        <v>1</v>
      </c>
      <c r="C4" s="7">
        <v>3</v>
      </c>
      <c r="D4" s="7">
        <v>20</v>
      </c>
      <c r="E4" s="7">
        <v>35</v>
      </c>
      <c r="F4" s="8">
        <v>563797.826</v>
      </c>
      <c r="G4" s="8">
        <v>123747.08</v>
      </c>
      <c r="H4" s="8">
        <v>395.33199999999999</v>
      </c>
      <c r="I4" s="8"/>
      <c r="J4" s="8">
        <f t="shared" ref="J4:J67" si="0">SQRT((F4-F3)^2+(G4-G3)^2)</f>
        <v>2.7763049184397612</v>
      </c>
      <c r="K4" s="8">
        <f t="shared" ref="K4:K67" si="1">K3+J4</f>
        <v>8.3637419874096732</v>
      </c>
      <c r="L4" s="8">
        <v>395.33199999999999</v>
      </c>
    </row>
    <row r="5" spans="1:12" x14ac:dyDescent="0.25">
      <c r="A5" s="7">
        <v>18947</v>
      </c>
      <c r="B5" s="7">
        <v>1</v>
      </c>
      <c r="C5" s="7">
        <v>4</v>
      </c>
      <c r="D5" s="7">
        <v>11</v>
      </c>
      <c r="E5" s="7">
        <v>35</v>
      </c>
      <c r="F5" s="8">
        <v>563802.12399999995</v>
      </c>
      <c r="G5" s="8">
        <v>123750.53</v>
      </c>
      <c r="H5" s="8">
        <v>395.16800000000001</v>
      </c>
      <c r="I5" s="8"/>
      <c r="J5" s="8">
        <f t="shared" si="0"/>
        <v>5.5113795005936241</v>
      </c>
      <c r="K5" s="8">
        <f t="shared" si="1"/>
        <v>13.875121488003298</v>
      </c>
      <c r="L5" s="8">
        <v>395.16800000000001</v>
      </c>
    </row>
    <row r="6" spans="1:12" x14ac:dyDescent="0.25">
      <c r="A6" s="7">
        <v>18947</v>
      </c>
      <c r="B6" s="7">
        <v>1</v>
      </c>
      <c r="C6" s="7">
        <v>5</v>
      </c>
      <c r="D6" s="7">
        <v>1</v>
      </c>
      <c r="E6" s="7">
        <v>32</v>
      </c>
      <c r="F6" s="8">
        <v>563802.81599999999</v>
      </c>
      <c r="G6" s="8">
        <v>123751.019</v>
      </c>
      <c r="H6" s="8">
        <v>395.32499999999999</v>
      </c>
      <c r="I6" s="8"/>
      <c r="J6" s="8">
        <f t="shared" si="0"/>
        <v>0.84733995542255769</v>
      </c>
      <c r="K6" s="8">
        <f t="shared" si="1"/>
        <v>14.722461443425855</v>
      </c>
      <c r="L6" s="8">
        <v>395.32499999999999</v>
      </c>
    </row>
    <row r="7" spans="1:12" x14ac:dyDescent="0.25">
      <c r="A7" s="7">
        <v>18947</v>
      </c>
      <c r="B7" s="7">
        <v>1</v>
      </c>
      <c r="C7" s="7">
        <v>6</v>
      </c>
      <c r="D7" s="7">
        <v>14</v>
      </c>
      <c r="E7" s="7">
        <v>35</v>
      </c>
      <c r="F7" s="8">
        <v>563803.27399999998</v>
      </c>
      <c r="G7" s="8">
        <v>123751.45299999999</v>
      </c>
      <c r="H7" s="8">
        <v>395.05200000000002</v>
      </c>
      <c r="I7" s="8"/>
      <c r="J7" s="8">
        <f t="shared" si="0"/>
        <v>0.63096751103376303</v>
      </c>
      <c r="K7" s="8">
        <f t="shared" si="1"/>
        <v>15.353428954459618</v>
      </c>
      <c r="L7" s="8">
        <v>395.05200000000002</v>
      </c>
    </row>
    <row r="8" spans="1:12" x14ac:dyDescent="0.25">
      <c r="A8" s="7">
        <v>18947</v>
      </c>
      <c r="B8" s="7">
        <v>1</v>
      </c>
      <c r="C8" s="7">
        <v>7</v>
      </c>
      <c r="D8" s="7">
        <v>14</v>
      </c>
      <c r="E8" s="7">
        <v>35</v>
      </c>
      <c r="F8" s="8">
        <v>563804.19299999997</v>
      </c>
      <c r="G8" s="8">
        <v>123752.19100000001</v>
      </c>
      <c r="H8" s="8">
        <v>394.32</v>
      </c>
      <c r="I8" s="8"/>
      <c r="J8" s="8">
        <f t="shared" si="0"/>
        <v>1.1786454089367164</v>
      </c>
      <c r="K8" s="8">
        <f t="shared" si="1"/>
        <v>16.532074363396333</v>
      </c>
      <c r="L8" s="8">
        <v>394.32</v>
      </c>
    </row>
    <row r="9" spans="1:12" x14ac:dyDescent="0.25">
      <c r="A9" s="7">
        <v>18947</v>
      </c>
      <c r="B9" s="7">
        <v>1</v>
      </c>
      <c r="C9" s="7">
        <v>8</v>
      </c>
      <c r="D9" s="7">
        <v>12</v>
      </c>
      <c r="E9" s="7">
        <v>35</v>
      </c>
      <c r="F9" s="8">
        <v>563805.451</v>
      </c>
      <c r="G9" s="8">
        <v>123753.201</v>
      </c>
      <c r="H9" s="8">
        <v>393.46100000000001</v>
      </c>
      <c r="I9" s="8"/>
      <c r="J9" s="8">
        <f t="shared" si="0"/>
        <v>1.6132774095197464</v>
      </c>
      <c r="K9" s="8">
        <f t="shared" si="1"/>
        <v>18.145351772916079</v>
      </c>
      <c r="L9" s="8">
        <v>393.46100000000001</v>
      </c>
    </row>
    <row r="10" spans="1:12" x14ac:dyDescent="0.25">
      <c r="A10" s="7">
        <v>18947</v>
      </c>
      <c r="B10" s="7">
        <v>1</v>
      </c>
      <c r="C10" s="7">
        <v>9</v>
      </c>
      <c r="D10" s="7">
        <v>12</v>
      </c>
      <c r="E10" s="7">
        <v>35</v>
      </c>
      <c r="F10" s="8">
        <v>563806.67299999995</v>
      </c>
      <c r="G10" s="8">
        <v>123754.183</v>
      </c>
      <c r="H10" s="8">
        <v>393.22800000000001</v>
      </c>
      <c r="I10" s="8"/>
      <c r="J10" s="8">
        <f t="shared" si="0"/>
        <v>1.5676759868947574</v>
      </c>
      <c r="K10" s="8">
        <f t="shared" si="1"/>
        <v>19.713027759810835</v>
      </c>
      <c r="L10" s="8">
        <v>393.22800000000001</v>
      </c>
    </row>
    <row r="11" spans="1:12" x14ac:dyDescent="0.25">
      <c r="A11" s="7">
        <v>18947</v>
      </c>
      <c r="B11" s="7">
        <v>1</v>
      </c>
      <c r="C11" s="7">
        <v>10</v>
      </c>
      <c r="D11" s="7">
        <v>12</v>
      </c>
      <c r="E11" s="7">
        <v>35</v>
      </c>
      <c r="F11" s="8">
        <v>563808.90899999999</v>
      </c>
      <c r="G11" s="8">
        <v>123755.977</v>
      </c>
      <c r="H11" s="8">
        <v>393.43400000000003</v>
      </c>
      <c r="I11" s="8"/>
      <c r="J11" s="8">
        <f t="shared" si="0"/>
        <v>2.8667284489692926</v>
      </c>
      <c r="K11" s="8">
        <f t="shared" si="1"/>
        <v>22.579756208780129</v>
      </c>
      <c r="L11" s="8">
        <v>393.43400000000003</v>
      </c>
    </row>
    <row r="12" spans="1:12" x14ac:dyDescent="0.25">
      <c r="A12" s="7">
        <v>18947</v>
      </c>
      <c r="B12" s="7">
        <v>1</v>
      </c>
      <c r="C12" s="7">
        <v>11</v>
      </c>
      <c r="D12" s="7">
        <v>12</v>
      </c>
      <c r="E12" s="7">
        <v>35</v>
      </c>
      <c r="F12" s="8">
        <v>563810.49399999995</v>
      </c>
      <c r="G12" s="8">
        <v>123757.25</v>
      </c>
      <c r="H12" s="8">
        <v>393.387</v>
      </c>
      <c r="I12" s="8"/>
      <c r="J12" s="8">
        <f t="shared" si="0"/>
        <v>2.0329176077462106</v>
      </c>
      <c r="K12" s="8">
        <f t="shared" si="1"/>
        <v>24.612673816526339</v>
      </c>
      <c r="L12" s="8">
        <v>393.387</v>
      </c>
    </row>
    <row r="13" spans="1:12" x14ac:dyDescent="0.25">
      <c r="A13" s="7">
        <v>18947</v>
      </c>
      <c r="B13" s="7">
        <v>1</v>
      </c>
      <c r="C13" s="7">
        <v>12</v>
      </c>
      <c r="D13" s="7">
        <v>12</v>
      </c>
      <c r="E13" s="7">
        <v>35</v>
      </c>
      <c r="F13" s="8">
        <v>563812.27300000004</v>
      </c>
      <c r="G13" s="8">
        <v>123758.678</v>
      </c>
      <c r="H13" s="8">
        <v>393.42399999999998</v>
      </c>
      <c r="I13" s="8"/>
      <c r="J13" s="8">
        <f t="shared" si="0"/>
        <v>2.2812332191918228</v>
      </c>
      <c r="K13" s="8">
        <f t="shared" si="1"/>
        <v>26.893907035718161</v>
      </c>
      <c r="L13" s="8">
        <v>393.42399999999998</v>
      </c>
    </row>
    <row r="14" spans="1:12" x14ac:dyDescent="0.25">
      <c r="A14" s="7">
        <v>18947</v>
      </c>
      <c r="B14" s="7">
        <v>1</v>
      </c>
      <c r="C14" s="7">
        <v>13</v>
      </c>
      <c r="D14" s="7">
        <v>12</v>
      </c>
      <c r="E14" s="7">
        <v>35</v>
      </c>
      <c r="F14" s="8">
        <v>563814.24699999997</v>
      </c>
      <c r="G14" s="8">
        <v>123760.26300000001</v>
      </c>
      <c r="H14" s="8">
        <v>393.26900000000001</v>
      </c>
      <c r="I14" s="8"/>
      <c r="J14" s="8">
        <f t="shared" si="0"/>
        <v>2.5315807314286571</v>
      </c>
      <c r="K14" s="8">
        <f t="shared" si="1"/>
        <v>29.425487767146819</v>
      </c>
      <c r="L14" s="8">
        <v>393.26900000000001</v>
      </c>
    </row>
    <row r="15" spans="1:12" x14ac:dyDescent="0.25">
      <c r="A15" s="7">
        <v>18947</v>
      </c>
      <c r="B15" s="7">
        <v>1</v>
      </c>
      <c r="C15" s="7">
        <v>14</v>
      </c>
      <c r="D15" s="7">
        <v>12</v>
      </c>
      <c r="E15" s="7">
        <v>35</v>
      </c>
      <c r="F15" s="8">
        <v>563815.88</v>
      </c>
      <c r="G15" s="8">
        <v>123761.575</v>
      </c>
      <c r="H15" s="8">
        <v>391.97399999999999</v>
      </c>
      <c r="I15" s="8"/>
      <c r="J15" s="8">
        <f t="shared" si="0"/>
        <v>2.0947632324623808</v>
      </c>
      <c r="K15" s="8">
        <f t="shared" si="1"/>
        <v>31.5202509996092</v>
      </c>
      <c r="L15" s="8">
        <v>391.97399999999999</v>
      </c>
    </row>
    <row r="16" spans="1:12" x14ac:dyDescent="0.25">
      <c r="A16" s="7">
        <v>18947</v>
      </c>
      <c r="B16" s="7">
        <v>1</v>
      </c>
      <c r="C16" s="7">
        <v>15</v>
      </c>
      <c r="D16" s="7">
        <v>12</v>
      </c>
      <c r="E16" s="7">
        <v>35</v>
      </c>
      <c r="F16" s="8">
        <v>563817.223</v>
      </c>
      <c r="G16" s="8">
        <v>123762.65300000001</v>
      </c>
      <c r="H16" s="8">
        <v>390.88900000000001</v>
      </c>
      <c r="I16" s="8"/>
      <c r="J16" s="8">
        <f t="shared" si="0"/>
        <v>1.7221303667263586</v>
      </c>
      <c r="K16" s="8">
        <f t="shared" si="1"/>
        <v>33.242381366335557</v>
      </c>
      <c r="L16" s="8">
        <v>390.88900000000001</v>
      </c>
    </row>
    <row r="17" spans="1:12" x14ac:dyDescent="0.25">
      <c r="A17" s="7">
        <v>18947</v>
      </c>
      <c r="B17" s="7">
        <v>1</v>
      </c>
      <c r="C17" s="7">
        <v>16</v>
      </c>
      <c r="D17" s="7">
        <v>22</v>
      </c>
      <c r="E17" s="7">
        <v>35</v>
      </c>
      <c r="F17" s="8">
        <v>563817.973</v>
      </c>
      <c r="G17" s="8">
        <v>123763.255</v>
      </c>
      <c r="H17" s="8">
        <v>389.92099999999999</v>
      </c>
      <c r="I17" s="8"/>
      <c r="J17" s="8">
        <f t="shared" si="0"/>
        <v>0.96171929376442189</v>
      </c>
      <c r="K17" s="8">
        <f t="shared" si="1"/>
        <v>34.204100660099982</v>
      </c>
      <c r="L17" s="8">
        <v>389.92099999999999</v>
      </c>
    </row>
    <row r="18" spans="1:12" x14ac:dyDescent="0.25">
      <c r="A18" s="7">
        <v>18947</v>
      </c>
      <c r="B18" s="7">
        <v>1</v>
      </c>
      <c r="C18" s="7">
        <v>17</v>
      </c>
      <c r="D18" s="7">
        <v>22</v>
      </c>
      <c r="E18" s="7">
        <v>35</v>
      </c>
      <c r="F18" s="8">
        <v>563818.29399999999</v>
      </c>
      <c r="G18" s="8">
        <v>123763.512</v>
      </c>
      <c r="H18" s="8">
        <v>389.77499999999998</v>
      </c>
      <c r="I18" s="8"/>
      <c r="J18" s="8">
        <f t="shared" si="0"/>
        <v>0.41120554470540821</v>
      </c>
      <c r="K18" s="8">
        <f t="shared" si="1"/>
        <v>34.615306204805393</v>
      </c>
      <c r="L18" s="8">
        <v>389.77499999999998</v>
      </c>
    </row>
    <row r="19" spans="1:12" x14ac:dyDescent="0.25">
      <c r="A19" s="7">
        <v>18947</v>
      </c>
      <c r="B19" s="7">
        <v>1</v>
      </c>
      <c r="C19" s="7">
        <v>18</v>
      </c>
      <c r="D19" s="7">
        <v>22</v>
      </c>
      <c r="E19" s="7">
        <v>35</v>
      </c>
      <c r="F19" s="8">
        <v>563818.56299999997</v>
      </c>
      <c r="G19" s="8">
        <v>123763.72900000001</v>
      </c>
      <c r="H19" s="8">
        <v>389.495</v>
      </c>
      <c r="I19" s="8"/>
      <c r="J19" s="8">
        <f t="shared" si="0"/>
        <v>0.34561539315586953</v>
      </c>
      <c r="K19" s="8">
        <f t="shared" si="1"/>
        <v>34.96092159796126</v>
      </c>
      <c r="L19" s="8">
        <v>389.495</v>
      </c>
    </row>
    <row r="20" spans="1:12" x14ac:dyDescent="0.25">
      <c r="A20" s="7">
        <v>18947</v>
      </c>
      <c r="B20" s="7">
        <v>1</v>
      </c>
      <c r="C20" s="7">
        <v>19</v>
      </c>
      <c r="D20" s="7">
        <v>22</v>
      </c>
      <c r="E20" s="7">
        <v>35</v>
      </c>
      <c r="F20" s="8">
        <v>563819.43400000001</v>
      </c>
      <c r="G20" s="8">
        <v>123764.427</v>
      </c>
      <c r="H20" s="8">
        <v>388.8</v>
      </c>
      <c r="I20" s="8"/>
      <c r="J20" s="8">
        <f t="shared" si="0"/>
        <v>1.1161742695743526</v>
      </c>
      <c r="K20" s="8">
        <f t="shared" si="1"/>
        <v>36.077095867535611</v>
      </c>
      <c r="L20" s="8">
        <v>388.8</v>
      </c>
    </row>
    <row r="21" spans="1:12" x14ac:dyDescent="0.25">
      <c r="A21" s="7">
        <v>18947</v>
      </c>
      <c r="B21" s="7">
        <v>1</v>
      </c>
      <c r="C21" s="7">
        <v>20</v>
      </c>
      <c r="D21" s="7">
        <v>19</v>
      </c>
      <c r="E21" s="7">
        <v>35</v>
      </c>
      <c r="F21" s="8">
        <v>563820.59</v>
      </c>
      <c r="G21" s="8">
        <v>123765.356</v>
      </c>
      <c r="H21" s="8">
        <v>387.69</v>
      </c>
      <c r="I21" s="8"/>
      <c r="J21" s="8">
        <f t="shared" si="0"/>
        <v>1.4830296692622775</v>
      </c>
      <c r="K21" s="8">
        <f t="shared" si="1"/>
        <v>37.560125536797891</v>
      </c>
      <c r="L21" s="8">
        <v>387.69</v>
      </c>
    </row>
    <row r="22" spans="1:12" x14ac:dyDescent="0.25">
      <c r="A22" s="7">
        <v>18947</v>
      </c>
      <c r="B22" s="7">
        <v>1</v>
      </c>
      <c r="C22" s="7">
        <v>21</v>
      </c>
      <c r="D22" s="7">
        <v>19</v>
      </c>
      <c r="E22" s="7">
        <v>35</v>
      </c>
      <c r="F22" s="8">
        <v>563821.91</v>
      </c>
      <c r="G22" s="8">
        <v>123766.41499999999</v>
      </c>
      <c r="H22" s="8">
        <v>387.42</v>
      </c>
      <c r="I22" s="8"/>
      <c r="J22" s="8">
        <f t="shared" si="0"/>
        <v>1.6923005052764832</v>
      </c>
      <c r="K22" s="8">
        <f t="shared" si="1"/>
        <v>39.252426042074376</v>
      </c>
      <c r="L22" s="8">
        <v>387.42</v>
      </c>
    </row>
    <row r="23" spans="1:12" x14ac:dyDescent="0.25">
      <c r="A23" s="7">
        <v>18947</v>
      </c>
      <c r="B23" s="7">
        <v>1</v>
      </c>
      <c r="C23" s="7">
        <v>22</v>
      </c>
      <c r="D23" s="7">
        <v>19</v>
      </c>
      <c r="E23" s="7">
        <v>35</v>
      </c>
      <c r="F23" s="8">
        <v>563823.63800000004</v>
      </c>
      <c r="G23" s="8">
        <v>123767.803</v>
      </c>
      <c r="H23" s="8">
        <v>387.28</v>
      </c>
      <c r="I23" s="8"/>
      <c r="J23" s="8">
        <f t="shared" si="0"/>
        <v>2.2164223424309517</v>
      </c>
      <c r="K23" s="8">
        <f t="shared" si="1"/>
        <v>41.468848384505328</v>
      </c>
      <c r="L23" s="8">
        <v>387.28</v>
      </c>
    </row>
    <row r="24" spans="1:12" x14ac:dyDescent="0.25">
      <c r="A24" s="7">
        <v>18947</v>
      </c>
      <c r="B24" s="7">
        <v>1</v>
      </c>
      <c r="C24" s="7">
        <v>23</v>
      </c>
      <c r="D24" s="7">
        <v>19</v>
      </c>
      <c r="E24" s="7">
        <v>35</v>
      </c>
      <c r="F24" s="8">
        <v>563824.51399999997</v>
      </c>
      <c r="G24" s="8">
        <v>123768.50599999999</v>
      </c>
      <c r="H24" s="8">
        <v>387.43</v>
      </c>
      <c r="I24" s="8"/>
      <c r="J24" s="8">
        <f t="shared" si="0"/>
        <v>1.1232030091977621</v>
      </c>
      <c r="K24" s="8">
        <f t="shared" si="1"/>
        <v>42.592051393703088</v>
      </c>
      <c r="L24" s="8">
        <v>387.43</v>
      </c>
    </row>
    <row r="25" spans="1:12" x14ac:dyDescent="0.25">
      <c r="A25" s="7">
        <v>18947</v>
      </c>
      <c r="B25" s="7">
        <v>1</v>
      </c>
      <c r="C25" s="7">
        <v>24</v>
      </c>
      <c r="D25" s="7">
        <v>19</v>
      </c>
      <c r="E25" s="7">
        <v>35</v>
      </c>
      <c r="F25" s="8">
        <v>563825.30200000003</v>
      </c>
      <c r="G25" s="8">
        <v>123769.139</v>
      </c>
      <c r="H25" s="8">
        <v>387.45</v>
      </c>
      <c r="I25" s="8"/>
      <c r="J25" s="8">
        <f t="shared" si="0"/>
        <v>1.010758626030237</v>
      </c>
      <c r="K25" s="8">
        <f t="shared" si="1"/>
        <v>43.602810019733326</v>
      </c>
      <c r="L25" s="8">
        <v>387.45</v>
      </c>
    </row>
    <row r="26" spans="1:12" x14ac:dyDescent="0.25">
      <c r="A26" s="7">
        <v>18947</v>
      </c>
      <c r="B26" s="7">
        <v>1</v>
      </c>
      <c r="C26" s="7">
        <v>25</v>
      </c>
      <c r="D26" s="7">
        <v>19</v>
      </c>
      <c r="E26" s="7">
        <v>35</v>
      </c>
      <c r="F26" s="8">
        <v>563825.93799999997</v>
      </c>
      <c r="G26" s="8">
        <v>123769.649</v>
      </c>
      <c r="H26" s="8">
        <v>387.49</v>
      </c>
      <c r="I26" s="8"/>
      <c r="J26" s="8">
        <f t="shared" si="0"/>
        <v>0.81522757554788483</v>
      </c>
      <c r="K26" s="8">
        <f t="shared" si="1"/>
        <v>44.418037595281213</v>
      </c>
      <c r="L26" s="8">
        <v>387.49</v>
      </c>
    </row>
    <row r="27" spans="1:12" x14ac:dyDescent="0.25">
      <c r="A27" s="7">
        <v>18947</v>
      </c>
      <c r="B27" s="7">
        <v>1</v>
      </c>
      <c r="C27" s="7">
        <v>26</v>
      </c>
      <c r="D27" s="7">
        <v>19</v>
      </c>
      <c r="E27" s="7">
        <v>35</v>
      </c>
      <c r="F27" s="8">
        <v>563827.48100000003</v>
      </c>
      <c r="G27" s="8">
        <v>123770.88800000001</v>
      </c>
      <c r="H27" s="8">
        <v>387.58</v>
      </c>
      <c r="I27" s="8"/>
      <c r="J27" s="8">
        <f t="shared" si="0"/>
        <v>1.9788809969775589</v>
      </c>
      <c r="K27" s="8">
        <f t="shared" si="1"/>
        <v>46.396918592258771</v>
      </c>
      <c r="L27" s="8">
        <v>387.58</v>
      </c>
    </row>
    <row r="28" spans="1:12" x14ac:dyDescent="0.25">
      <c r="A28" s="7">
        <v>18947</v>
      </c>
      <c r="B28" s="7">
        <v>1</v>
      </c>
      <c r="C28" s="7">
        <v>27</v>
      </c>
      <c r="D28" s="7">
        <v>19</v>
      </c>
      <c r="E28" s="7">
        <v>35</v>
      </c>
      <c r="F28" s="8">
        <v>563828.41099999996</v>
      </c>
      <c r="G28" s="8">
        <v>123771.63499999999</v>
      </c>
      <c r="H28" s="8">
        <v>387.66</v>
      </c>
      <c r="I28" s="8"/>
      <c r="J28" s="8">
        <f t="shared" si="0"/>
        <v>1.1928574935261644</v>
      </c>
      <c r="K28" s="8">
        <f t="shared" si="1"/>
        <v>47.589776085784933</v>
      </c>
      <c r="L28" s="8">
        <v>387.66</v>
      </c>
    </row>
    <row r="29" spans="1:12" x14ac:dyDescent="0.25">
      <c r="A29" s="7">
        <v>18947</v>
      </c>
      <c r="B29" s="7">
        <v>1</v>
      </c>
      <c r="C29" s="7">
        <v>28</v>
      </c>
      <c r="D29" s="7">
        <v>19</v>
      </c>
      <c r="E29" s="7">
        <v>35</v>
      </c>
      <c r="F29" s="8">
        <v>563829.33900000004</v>
      </c>
      <c r="G29" s="8">
        <v>123772.38</v>
      </c>
      <c r="H29" s="8">
        <v>387.61</v>
      </c>
      <c r="I29" s="8"/>
      <c r="J29" s="8">
        <f t="shared" si="0"/>
        <v>1.1900457975009069</v>
      </c>
      <c r="K29" s="8">
        <f t="shared" si="1"/>
        <v>48.779821883285841</v>
      </c>
      <c r="L29" s="8">
        <v>387.61</v>
      </c>
    </row>
    <row r="30" spans="1:12" x14ac:dyDescent="0.25">
      <c r="A30" s="7">
        <v>18947</v>
      </c>
      <c r="B30" s="7">
        <v>1</v>
      </c>
      <c r="C30" s="7">
        <v>29</v>
      </c>
      <c r="D30" s="7">
        <v>19</v>
      </c>
      <c r="E30" s="7">
        <v>35</v>
      </c>
      <c r="F30" s="8">
        <v>563830.11199999996</v>
      </c>
      <c r="G30" s="8">
        <v>123773</v>
      </c>
      <c r="H30" s="8">
        <v>387.64</v>
      </c>
      <c r="I30" s="8"/>
      <c r="J30" s="8">
        <f t="shared" si="0"/>
        <v>0.99092330676160778</v>
      </c>
      <c r="K30" s="8">
        <f t="shared" si="1"/>
        <v>49.77074519004745</v>
      </c>
      <c r="L30" s="8">
        <v>387.64</v>
      </c>
    </row>
    <row r="31" spans="1:12" x14ac:dyDescent="0.25">
      <c r="A31" s="7">
        <v>18947</v>
      </c>
      <c r="B31" s="7">
        <v>1</v>
      </c>
      <c r="C31" s="7">
        <v>30</v>
      </c>
      <c r="D31" s="7">
        <v>19</v>
      </c>
      <c r="E31" s="7">
        <v>35</v>
      </c>
      <c r="F31" s="8">
        <v>563831.03200000001</v>
      </c>
      <c r="G31" s="8">
        <v>123773.739</v>
      </c>
      <c r="H31" s="8">
        <v>387.64</v>
      </c>
      <c r="I31" s="8"/>
      <c r="J31" s="8">
        <f t="shared" si="0"/>
        <v>1.1800512701061672</v>
      </c>
      <c r="K31" s="8">
        <f t="shared" si="1"/>
        <v>50.950796460153619</v>
      </c>
      <c r="L31" s="8">
        <v>387.64</v>
      </c>
    </row>
    <row r="32" spans="1:12" x14ac:dyDescent="0.25">
      <c r="A32" s="7">
        <v>18947</v>
      </c>
      <c r="B32" s="7">
        <v>1</v>
      </c>
      <c r="C32" s="7">
        <v>31</v>
      </c>
      <c r="D32" s="7">
        <v>19</v>
      </c>
      <c r="E32" s="7">
        <v>35</v>
      </c>
      <c r="F32" s="8">
        <v>563832.13100000005</v>
      </c>
      <c r="G32" s="8">
        <v>123774.622</v>
      </c>
      <c r="H32" s="8">
        <v>387.64</v>
      </c>
      <c r="I32" s="8"/>
      <c r="J32" s="8">
        <f t="shared" si="0"/>
        <v>1.409783671384792</v>
      </c>
      <c r="K32" s="8">
        <f t="shared" si="1"/>
        <v>52.360580131538413</v>
      </c>
      <c r="L32" s="8">
        <v>387.64</v>
      </c>
    </row>
    <row r="33" spans="1:12" x14ac:dyDescent="0.25">
      <c r="A33" s="7">
        <v>18947</v>
      </c>
      <c r="B33" s="7">
        <v>1</v>
      </c>
      <c r="C33" s="7">
        <v>32</v>
      </c>
      <c r="D33" s="7">
        <v>19</v>
      </c>
      <c r="E33" s="7">
        <v>35</v>
      </c>
      <c r="F33" s="8">
        <v>563832.91599999997</v>
      </c>
      <c r="G33" s="8">
        <v>123775.251</v>
      </c>
      <c r="H33" s="8">
        <v>387.63</v>
      </c>
      <c r="I33" s="8"/>
      <c r="J33" s="8">
        <f t="shared" si="0"/>
        <v>1.0059155033448035</v>
      </c>
      <c r="K33" s="8">
        <f t="shared" si="1"/>
        <v>53.366495634883215</v>
      </c>
      <c r="L33" s="8">
        <v>387.63</v>
      </c>
    </row>
    <row r="34" spans="1:12" x14ac:dyDescent="0.25">
      <c r="A34" s="7">
        <v>18947</v>
      </c>
      <c r="B34" s="7">
        <v>1</v>
      </c>
      <c r="C34" s="7">
        <v>33</v>
      </c>
      <c r="D34" s="7">
        <v>19</v>
      </c>
      <c r="E34" s="7">
        <v>35</v>
      </c>
      <c r="F34" s="8">
        <v>563833.71200000006</v>
      </c>
      <c r="G34" s="8">
        <v>123775.891</v>
      </c>
      <c r="H34" s="8">
        <v>387.71</v>
      </c>
      <c r="I34" s="8"/>
      <c r="J34" s="8">
        <f t="shared" si="0"/>
        <v>1.021379459428077</v>
      </c>
      <c r="K34" s="8">
        <f t="shared" si="1"/>
        <v>54.387875094311291</v>
      </c>
      <c r="L34" s="8">
        <v>387.71</v>
      </c>
    </row>
    <row r="35" spans="1:12" x14ac:dyDescent="0.25">
      <c r="A35" s="7">
        <v>18947</v>
      </c>
      <c r="B35" s="7">
        <v>1</v>
      </c>
      <c r="C35" s="7">
        <v>34</v>
      </c>
      <c r="D35" s="7">
        <v>19</v>
      </c>
      <c r="E35" s="7">
        <v>35</v>
      </c>
      <c r="F35" s="8">
        <v>563834.64199999999</v>
      </c>
      <c r="G35" s="8">
        <v>123776.637</v>
      </c>
      <c r="H35" s="8">
        <v>387.85</v>
      </c>
      <c r="I35" s="8"/>
      <c r="J35" s="8">
        <f t="shared" si="0"/>
        <v>1.1922315210887213</v>
      </c>
      <c r="K35" s="8">
        <f t="shared" si="1"/>
        <v>55.580106615400013</v>
      </c>
      <c r="L35" s="8">
        <v>387.85</v>
      </c>
    </row>
    <row r="36" spans="1:12" x14ac:dyDescent="0.25">
      <c r="A36" s="7">
        <v>18947</v>
      </c>
      <c r="B36" s="7">
        <v>1</v>
      </c>
      <c r="C36" s="7">
        <v>35</v>
      </c>
      <c r="D36" s="7">
        <v>19</v>
      </c>
      <c r="E36" s="7">
        <v>35</v>
      </c>
      <c r="F36" s="8">
        <v>563835.42799999996</v>
      </c>
      <c r="G36" s="8">
        <v>123777.268</v>
      </c>
      <c r="H36" s="8">
        <v>387.84</v>
      </c>
      <c r="I36" s="8"/>
      <c r="J36" s="8">
        <f t="shared" si="0"/>
        <v>1.0079469231736673</v>
      </c>
      <c r="K36" s="8">
        <f t="shared" si="1"/>
        <v>56.588053538573682</v>
      </c>
      <c r="L36" s="8">
        <v>387.84</v>
      </c>
    </row>
    <row r="37" spans="1:12" x14ac:dyDescent="0.25">
      <c r="A37" s="7">
        <v>18947</v>
      </c>
      <c r="B37" s="7">
        <v>1</v>
      </c>
      <c r="C37" s="7">
        <v>36</v>
      </c>
      <c r="D37" s="7">
        <v>19</v>
      </c>
      <c r="E37" s="7">
        <v>35</v>
      </c>
      <c r="F37" s="8">
        <v>563836.67299999995</v>
      </c>
      <c r="G37" s="8">
        <v>123778.268</v>
      </c>
      <c r="H37" s="8">
        <v>387.79</v>
      </c>
      <c r="I37" s="8"/>
      <c r="J37" s="8">
        <f t="shared" si="0"/>
        <v>1.5968797700479536</v>
      </c>
      <c r="K37" s="8">
        <f t="shared" si="1"/>
        <v>58.184933308621638</v>
      </c>
      <c r="L37" s="8">
        <v>387.79</v>
      </c>
    </row>
    <row r="38" spans="1:12" x14ac:dyDescent="0.25">
      <c r="A38" s="7">
        <v>18947</v>
      </c>
      <c r="B38" s="7">
        <v>1</v>
      </c>
      <c r="C38" s="7">
        <v>37</v>
      </c>
      <c r="D38" s="7">
        <v>19</v>
      </c>
      <c r="E38" s="7">
        <v>35</v>
      </c>
      <c r="F38" s="8">
        <v>563837.66200000001</v>
      </c>
      <c r="G38" s="8">
        <v>123779.06200000001</v>
      </c>
      <c r="H38" s="8">
        <v>387.87</v>
      </c>
      <c r="I38" s="8"/>
      <c r="J38" s="8">
        <f t="shared" si="0"/>
        <v>1.268289004971711</v>
      </c>
      <c r="K38" s="8">
        <f t="shared" si="1"/>
        <v>59.453222313593351</v>
      </c>
      <c r="L38" s="8">
        <v>387.87</v>
      </c>
    </row>
    <row r="39" spans="1:12" x14ac:dyDescent="0.25">
      <c r="A39" s="7">
        <v>18947</v>
      </c>
      <c r="B39" s="7">
        <v>1</v>
      </c>
      <c r="C39" s="7">
        <v>38</v>
      </c>
      <c r="D39" s="7">
        <v>19</v>
      </c>
      <c r="E39" s="7">
        <v>35</v>
      </c>
      <c r="F39" s="8">
        <v>563838.47900000005</v>
      </c>
      <c r="G39" s="8">
        <v>123779.71799999999</v>
      </c>
      <c r="H39" s="8">
        <v>387.84</v>
      </c>
      <c r="I39" s="8"/>
      <c r="J39" s="8">
        <f t="shared" si="0"/>
        <v>1.0477714445661972</v>
      </c>
      <c r="K39" s="8">
        <f t="shared" si="1"/>
        <v>60.500993758159545</v>
      </c>
      <c r="L39" s="8">
        <v>387.84</v>
      </c>
    </row>
    <row r="40" spans="1:12" x14ac:dyDescent="0.25">
      <c r="A40" s="7">
        <v>18947</v>
      </c>
      <c r="B40" s="7">
        <v>1</v>
      </c>
      <c r="C40" s="7">
        <v>39</v>
      </c>
      <c r="D40" s="7">
        <v>19</v>
      </c>
      <c r="E40" s="7">
        <v>35</v>
      </c>
      <c r="F40" s="8">
        <v>563839.32400000002</v>
      </c>
      <c r="G40" s="8">
        <v>123780.39599999999</v>
      </c>
      <c r="H40" s="8">
        <v>387.88</v>
      </c>
      <c r="I40" s="8"/>
      <c r="J40" s="8">
        <f t="shared" si="0"/>
        <v>1.0833785118566013</v>
      </c>
      <c r="K40" s="8">
        <f t="shared" si="1"/>
        <v>61.584372270016146</v>
      </c>
      <c r="L40" s="8">
        <v>387.88</v>
      </c>
    </row>
    <row r="41" spans="1:12" x14ac:dyDescent="0.25">
      <c r="A41" s="7">
        <v>18947</v>
      </c>
      <c r="B41" s="7">
        <v>1</v>
      </c>
      <c r="C41" s="7">
        <v>40</v>
      </c>
      <c r="D41" s="7">
        <v>19</v>
      </c>
      <c r="E41" s="7">
        <v>35</v>
      </c>
      <c r="F41" s="8">
        <v>563840.38199999998</v>
      </c>
      <c r="G41" s="8">
        <v>123781.245</v>
      </c>
      <c r="H41" s="8">
        <v>387.78</v>
      </c>
      <c r="I41" s="8"/>
      <c r="J41" s="8">
        <f t="shared" si="0"/>
        <v>1.3565268150392722</v>
      </c>
      <c r="K41" s="8">
        <f t="shared" si="1"/>
        <v>62.94089908505542</v>
      </c>
      <c r="L41" s="8">
        <v>387.78</v>
      </c>
    </row>
    <row r="42" spans="1:12" x14ac:dyDescent="0.25">
      <c r="A42" s="7">
        <v>18947</v>
      </c>
      <c r="B42" s="7">
        <v>1</v>
      </c>
      <c r="C42" s="7">
        <v>41</v>
      </c>
      <c r="D42" s="7">
        <v>19</v>
      </c>
      <c r="E42" s="7">
        <v>35</v>
      </c>
      <c r="F42" s="8">
        <v>563841.19900000002</v>
      </c>
      <c r="G42" s="8">
        <v>123781.902</v>
      </c>
      <c r="H42" s="8">
        <v>387.68</v>
      </c>
      <c r="I42" s="8"/>
      <c r="J42" s="8">
        <f t="shared" si="0"/>
        <v>1.0483978252898472</v>
      </c>
      <c r="K42" s="8">
        <f t="shared" si="1"/>
        <v>63.989296910345267</v>
      </c>
      <c r="L42" s="8">
        <v>387.68</v>
      </c>
    </row>
    <row r="43" spans="1:12" x14ac:dyDescent="0.25">
      <c r="A43" s="7">
        <v>18947</v>
      </c>
      <c r="B43" s="7">
        <v>1</v>
      </c>
      <c r="C43" s="7">
        <v>42</v>
      </c>
      <c r="D43" s="7">
        <v>19</v>
      </c>
      <c r="E43" s="7">
        <v>35</v>
      </c>
      <c r="F43" s="8">
        <v>563842.09199999995</v>
      </c>
      <c r="G43" s="8">
        <v>123782.618</v>
      </c>
      <c r="H43" s="8">
        <v>387.85</v>
      </c>
      <c r="I43" s="8"/>
      <c r="J43" s="8">
        <f t="shared" si="0"/>
        <v>1.1445981827104681</v>
      </c>
      <c r="K43" s="8">
        <f t="shared" si="1"/>
        <v>65.133895093055742</v>
      </c>
      <c r="L43" s="8">
        <v>387.85</v>
      </c>
    </row>
    <row r="44" spans="1:12" x14ac:dyDescent="0.25">
      <c r="A44" s="7">
        <v>18947</v>
      </c>
      <c r="B44" s="7">
        <v>1</v>
      </c>
      <c r="C44" s="7">
        <v>43</v>
      </c>
      <c r="D44" s="7">
        <v>19</v>
      </c>
      <c r="E44" s="7">
        <v>35</v>
      </c>
      <c r="F44" s="8">
        <v>563842.91599999997</v>
      </c>
      <c r="G44" s="8">
        <v>123783.28</v>
      </c>
      <c r="H44" s="8">
        <v>387.85</v>
      </c>
      <c r="I44" s="8"/>
      <c r="J44" s="8">
        <f t="shared" si="0"/>
        <v>1.0569862818562812</v>
      </c>
      <c r="K44" s="8">
        <f t="shared" si="1"/>
        <v>66.190881374912024</v>
      </c>
      <c r="L44" s="8">
        <v>387.85</v>
      </c>
    </row>
    <row r="45" spans="1:12" x14ac:dyDescent="0.25">
      <c r="A45" s="7">
        <v>18947</v>
      </c>
      <c r="B45" s="7">
        <v>1</v>
      </c>
      <c r="C45" s="7">
        <v>44</v>
      </c>
      <c r="D45" s="7">
        <v>19</v>
      </c>
      <c r="E45" s="7">
        <v>35</v>
      </c>
      <c r="F45" s="8">
        <v>563843.73</v>
      </c>
      <c r="G45" s="8">
        <v>123783.933</v>
      </c>
      <c r="H45" s="8">
        <v>387.76</v>
      </c>
      <c r="I45" s="8"/>
      <c r="J45" s="8">
        <f t="shared" si="0"/>
        <v>1.0435540235314491</v>
      </c>
      <c r="K45" s="8">
        <f t="shared" si="1"/>
        <v>67.23443539844348</v>
      </c>
      <c r="L45" s="8">
        <v>387.76</v>
      </c>
    </row>
    <row r="46" spans="1:12" x14ac:dyDescent="0.25">
      <c r="A46" s="7">
        <v>18947</v>
      </c>
      <c r="B46" s="7">
        <v>1</v>
      </c>
      <c r="C46" s="7">
        <v>45</v>
      </c>
      <c r="D46" s="7">
        <v>19</v>
      </c>
      <c r="E46" s="7">
        <v>35</v>
      </c>
      <c r="F46" s="8">
        <v>563844.55700000003</v>
      </c>
      <c r="G46" s="8">
        <v>123784.59699999999</v>
      </c>
      <c r="H46" s="8">
        <v>387.77</v>
      </c>
      <c r="I46" s="8"/>
      <c r="J46" s="8">
        <f t="shared" si="0"/>
        <v>1.0605776728116127</v>
      </c>
      <c r="K46" s="8">
        <f t="shared" si="1"/>
        <v>68.295013071255099</v>
      </c>
      <c r="L46" s="8">
        <v>387.77</v>
      </c>
    </row>
    <row r="47" spans="1:12" x14ac:dyDescent="0.25">
      <c r="A47" s="7">
        <v>18947</v>
      </c>
      <c r="B47" s="7">
        <v>1</v>
      </c>
      <c r="C47" s="7">
        <v>46</v>
      </c>
      <c r="D47" s="7">
        <v>19</v>
      </c>
      <c r="E47" s="7">
        <v>35</v>
      </c>
      <c r="F47" s="8">
        <v>563845.33900000004</v>
      </c>
      <c r="G47" s="8">
        <v>123785.22500000001</v>
      </c>
      <c r="H47" s="8">
        <v>387.95</v>
      </c>
      <c r="I47" s="8"/>
      <c r="J47" s="8">
        <f t="shared" si="0"/>
        <v>1.002949649795378</v>
      </c>
      <c r="K47" s="8">
        <f t="shared" si="1"/>
        <v>69.297962721050482</v>
      </c>
      <c r="L47" s="8">
        <v>387.95</v>
      </c>
    </row>
    <row r="48" spans="1:12" x14ac:dyDescent="0.25">
      <c r="A48" s="7">
        <v>18947</v>
      </c>
      <c r="B48" s="7">
        <v>1</v>
      </c>
      <c r="C48" s="7">
        <v>47</v>
      </c>
      <c r="D48" s="7">
        <v>19</v>
      </c>
      <c r="E48" s="7">
        <v>35</v>
      </c>
      <c r="F48" s="8">
        <v>563846.15399999998</v>
      </c>
      <c r="G48" s="8">
        <v>123785.879</v>
      </c>
      <c r="H48" s="8">
        <v>387.96</v>
      </c>
      <c r="I48" s="8"/>
      <c r="J48" s="8">
        <f t="shared" si="0"/>
        <v>1.0449598077928017</v>
      </c>
      <c r="K48" s="8">
        <f t="shared" si="1"/>
        <v>70.342922528843289</v>
      </c>
      <c r="L48" s="8">
        <v>387.96</v>
      </c>
    </row>
    <row r="49" spans="1:12" x14ac:dyDescent="0.25">
      <c r="A49" s="7">
        <v>18947</v>
      </c>
      <c r="B49" s="7">
        <v>1</v>
      </c>
      <c r="C49" s="7">
        <v>48</v>
      </c>
      <c r="D49" s="7">
        <v>19</v>
      </c>
      <c r="E49" s="7">
        <v>35</v>
      </c>
      <c r="F49" s="8">
        <v>563846.97499999998</v>
      </c>
      <c r="G49" s="8">
        <v>123786.538</v>
      </c>
      <c r="H49" s="8">
        <v>387.82</v>
      </c>
      <c r="I49" s="8"/>
      <c r="J49" s="8">
        <f t="shared" si="0"/>
        <v>1.0527687305355449</v>
      </c>
      <c r="K49" s="8">
        <f t="shared" si="1"/>
        <v>71.395691259378836</v>
      </c>
      <c r="L49" s="8">
        <v>387.82</v>
      </c>
    </row>
    <row r="50" spans="1:12" x14ac:dyDescent="0.25">
      <c r="A50" s="7">
        <v>18947</v>
      </c>
      <c r="B50" s="7">
        <v>1</v>
      </c>
      <c r="C50" s="7">
        <v>49</v>
      </c>
      <c r="D50" s="7">
        <v>19</v>
      </c>
      <c r="E50" s="7">
        <v>35</v>
      </c>
      <c r="F50" s="8">
        <v>563847.70600000001</v>
      </c>
      <c r="G50" s="8">
        <v>123787.126</v>
      </c>
      <c r="H50" s="8">
        <v>387.82</v>
      </c>
      <c r="I50" s="8"/>
      <c r="J50" s="8">
        <f t="shared" si="0"/>
        <v>0.93813911550802509</v>
      </c>
      <c r="K50" s="8">
        <f t="shared" si="1"/>
        <v>72.333830374886858</v>
      </c>
      <c r="L50" s="8">
        <v>387.82</v>
      </c>
    </row>
    <row r="51" spans="1:12" x14ac:dyDescent="0.25">
      <c r="A51" s="7">
        <v>18947</v>
      </c>
      <c r="B51" s="7">
        <v>1</v>
      </c>
      <c r="C51" s="7">
        <v>50</v>
      </c>
      <c r="D51" s="7">
        <v>19</v>
      </c>
      <c r="E51" s="7">
        <v>35</v>
      </c>
      <c r="F51" s="8">
        <v>563848.58200000005</v>
      </c>
      <c r="G51" s="8">
        <v>123787.829</v>
      </c>
      <c r="H51" s="8">
        <v>387.89</v>
      </c>
      <c r="I51" s="8"/>
      <c r="J51" s="8">
        <f t="shared" si="0"/>
        <v>1.1232030092885559</v>
      </c>
      <c r="K51" s="8">
        <f t="shared" si="1"/>
        <v>73.457033384175418</v>
      </c>
      <c r="L51" s="8">
        <v>387.89</v>
      </c>
    </row>
    <row r="52" spans="1:12" x14ac:dyDescent="0.25">
      <c r="A52" s="7">
        <v>18947</v>
      </c>
      <c r="B52" s="7">
        <v>1</v>
      </c>
      <c r="C52" s="7">
        <v>51</v>
      </c>
      <c r="D52" s="7">
        <v>19</v>
      </c>
      <c r="E52" s="7">
        <v>35</v>
      </c>
      <c r="F52" s="8">
        <v>563849.36800000002</v>
      </c>
      <c r="G52" s="8">
        <v>123788.46</v>
      </c>
      <c r="H52" s="8">
        <v>387.84</v>
      </c>
      <c r="I52" s="8"/>
      <c r="J52" s="8">
        <f t="shared" si="0"/>
        <v>1.0079469231827771</v>
      </c>
      <c r="K52" s="8">
        <f t="shared" si="1"/>
        <v>74.464980307358189</v>
      </c>
      <c r="L52" s="8">
        <v>387.84</v>
      </c>
    </row>
    <row r="53" spans="1:12" x14ac:dyDescent="0.25">
      <c r="A53" s="7">
        <v>18947</v>
      </c>
      <c r="B53" s="7">
        <v>1</v>
      </c>
      <c r="C53" s="7">
        <v>52</v>
      </c>
      <c r="D53" s="7">
        <v>19</v>
      </c>
      <c r="E53" s="7">
        <v>35</v>
      </c>
      <c r="F53" s="8">
        <v>563850.38</v>
      </c>
      <c r="G53" s="8">
        <v>123789.273</v>
      </c>
      <c r="H53" s="8">
        <v>387.91</v>
      </c>
      <c r="I53" s="8"/>
      <c r="J53" s="8">
        <f t="shared" si="0"/>
        <v>1.2981190238059019</v>
      </c>
      <c r="K53" s="8">
        <f t="shared" si="1"/>
        <v>75.763099331164085</v>
      </c>
      <c r="L53" s="8">
        <v>387.91</v>
      </c>
    </row>
    <row r="54" spans="1:12" x14ac:dyDescent="0.25">
      <c r="A54" s="7">
        <v>18947</v>
      </c>
      <c r="B54" s="7">
        <v>1</v>
      </c>
      <c r="C54" s="7">
        <v>53</v>
      </c>
      <c r="D54" s="7">
        <v>19</v>
      </c>
      <c r="E54" s="7">
        <v>35</v>
      </c>
      <c r="F54" s="8">
        <v>563851.12100000004</v>
      </c>
      <c r="G54" s="8">
        <v>123789.867</v>
      </c>
      <c r="H54" s="8">
        <v>387.99</v>
      </c>
      <c r="I54" s="8"/>
      <c r="J54" s="8">
        <f t="shared" si="0"/>
        <v>0.94969310835311849</v>
      </c>
      <c r="K54" s="8">
        <f t="shared" si="1"/>
        <v>76.712792439517202</v>
      </c>
      <c r="L54" s="8">
        <v>387.99</v>
      </c>
    </row>
    <row r="55" spans="1:12" x14ac:dyDescent="0.25">
      <c r="A55" s="7">
        <v>18947</v>
      </c>
      <c r="B55" s="7">
        <v>1</v>
      </c>
      <c r="C55" s="7">
        <v>54</v>
      </c>
      <c r="D55" s="7">
        <v>19</v>
      </c>
      <c r="E55" s="7">
        <v>35</v>
      </c>
      <c r="F55" s="8">
        <v>563851.85600000003</v>
      </c>
      <c r="G55" s="8">
        <v>123790.458</v>
      </c>
      <c r="H55" s="8">
        <v>387.97</v>
      </c>
      <c r="I55" s="8"/>
      <c r="J55" s="8">
        <f t="shared" si="0"/>
        <v>0.9431362573774148</v>
      </c>
      <c r="K55" s="8">
        <f t="shared" si="1"/>
        <v>77.65592869689462</v>
      </c>
      <c r="L55" s="8">
        <v>387.97</v>
      </c>
    </row>
    <row r="56" spans="1:12" x14ac:dyDescent="0.25">
      <c r="A56" s="7">
        <v>18947</v>
      </c>
      <c r="B56" s="7">
        <v>1</v>
      </c>
      <c r="C56" s="7">
        <v>55</v>
      </c>
      <c r="D56" s="7">
        <v>19</v>
      </c>
      <c r="E56" s="7">
        <v>35</v>
      </c>
      <c r="F56" s="8">
        <v>563853.06400000001</v>
      </c>
      <c r="G56" s="8">
        <v>123791.427</v>
      </c>
      <c r="H56" s="8">
        <v>388.12</v>
      </c>
      <c r="I56" s="8"/>
      <c r="J56" s="8">
        <f t="shared" si="0"/>
        <v>1.5486203537202266</v>
      </c>
      <c r="K56" s="8">
        <f t="shared" si="1"/>
        <v>79.204549050614844</v>
      </c>
      <c r="L56" s="8">
        <v>388.12</v>
      </c>
    </row>
    <row r="57" spans="1:12" x14ac:dyDescent="0.25">
      <c r="A57" s="7">
        <v>18947</v>
      </c>
      <c r="B57" s="7">
        <v>1</v>
      </c>
      <c r="C57" s="7">
        <v>56</v>
      </c>
      <c r="D57" s="7">
        <v>19</v>
      </c>
      <c r="E57" s="7">
        <v>35</v>
      </c>
      <c r="F57" s="8">
        <v>563853.84499999997</v>
      </c>
      <c r="G57" s="8">
        <v>123792.05499999999</v>
      </c>
      <c r="H57" s="8">
        <v>388.11</v>
      </c>
      <c r="I57" s="8"/>
      <c r="J57" s="8">
        <f t="shared" si="0"/>
        <v>1.0021701452009986</v>
      </c>
      <c r="K57" s="8">
        <f t="shared" si="1"/>
        <v>80.206719195815836</v>
      </c>
      <c r="L57" s="8">
        <v>388.11</v>
      </c>
    </row>
    <row r="58" spans="1:12" x14ac:dyDescent="0.25">
      <c r="A58" s="7">
        <v>18947</v>
      </c>
      <c r="B58" s="7">
        <v>1</v>
      </c>
      <c r="C58" s="7">
        <v>57</v>
      </c>
      <c r="D58" s="7">
        <v>19</v>
      </c>
      <c r="E58" s="7">
        <v>35</v>
      </c>
      <c r="F58" s="8">
        <v>563854.96299999999</v>
      </c>
      <c r="G58" s="8">
        <v>123792.952</v>
      </c>
      <c r="H58" s="8">
        <v>388</v>
      </c>
      <c r="I58" s="8"/>
      <c r="J58" s="8">
        <f t="shared" si="0"/>
        <v>1.433364224493753</v>
      </c>
      <c r="K58" s="8">
        <f t="shared" si="1"/>
        <v>81.640083420309594</v>
      </c>
      <c r="L58" s="8">
        <v>388</v>
      </c>
    </row>
    <row r="59" spans="1:12" x14ac:dyDescent="0.25">
      <c r="A59" s="7">
        <v>18947</v>
      </c>
      <c r="B59" s="7">
        <v>1</v>
      </c>
      <c r="C59" s="7">
        <v>58</v>
      </c>
      <c r="D59" s="7">
        <v>19</v>
      </c>
      <c r="E59" s="7">
        <v>35</v>
      </c>
      <c r="F59" s="8">
        <v>563855.804</v>
      </c>
      <c r="G59" s="8">
        <v>123793.62699999999</v>
      </c>
      <c r="H59" s="8">
        <v>388.06</v>
      </c>
      <c r="I59" s="8"/>
      <c r="J59" s="8">
        <f t="shared" si="0"/>
        <v>1.0783811942023784</v>
      </c>
      <c r="K59" s="8">
        <f t="shared" si="1"/>
        <v>82.718464614511973</v>
      </c>
      <c r="L59" s="8">
        <v>388.06</v>
      </c>
    </row>
    <row r="60" spans="1:12" x14ac:dyDescent="0.25">
      <c r="A60" s="7">
        <v>18947</v>
      </c>
      <c r="B60" s="7">
        <v>1</v>
      </c>
      <c r="C60" s="7">
        <v>59</v>
      </c>
      <c r="D60" s="7">
        <v>19</v>
      </c>
      <c r="E60" s="7">
        <v>35</v>
      </c>
      <c r="F60" s="8">
        <v>563856.65700000001</v>
      </c>
      <c r="G60" s="8">
        <v>123794.31200000001</v>
      </c>
      <c r="H60" s="8">
        <v>388.03</v>
      </c>
      <c r="I60" s="8"/>
      <c r="J60" s="8">
        <f t="shared" si="0"/>
        <v>1.0939990859326678</v>
      </c>
      <c r="K60" s="8">
        <f t="shared" si="1"/>
        <v>83.812463700444638</v>
      </c>
      <c r="L60" s="8">
        <v>388.03</v>
      </c>
    </row>
    <row r="61" spans="1:12" x14ac:dyDescent="0.25">
      <c r="A61" s="7">
        <v>18947</v>
      </c>
      <c r="B61" s="7">
        <v>1</v>
      </c>
      <c r="C61" s="7">
        <v>60</v>
      </c>
      <c r="D61" s="7">
        <v>19</v>
      </c>
      <c r="E61" s="7">
        <v>35</v>
      </c>
      <c r="F61" s="8">
        <v>563857.321</v>
      </c>
      <c r="G61" s="8">
        <v>123794.845</v>
      </c>
      <c r="H61" s="8">
        <v>388</v>
      </c>
      <c r="I61" s="8"/>
      <c r="J61" s="8">
        <f t="shared" si="0"/>
        <v>0.85146050993685418</v>
      </c>
      <c r="K61" s="8">
        <f t="shared" si="1"/>
        <v>84.663924210381495</v>
      </c>
      <c r="L61" s="8">
        <v>388</v>
      </c>
    </row>
    <row r="62" spans="1:12" x14ac:dyDescent="0.25">
      <c r="A62" s="7">
        <v>18947</v>
      </c>
      <c r="B62" s="7">
        <v>1</v>
      </c>
      <c r="C62" s="7">
        <v>61</v>
      </c>
      <c r="D62" s="7">
        <v>19</v>
      </c>
      <c r="E62" s="7">
        <v>35</v>
      </c>
      <c r="F62" s="8">
        <v>563858.12100000004</v>
      </c>
      <c r="G62" s="8">
        <v>123795.48699999999</v>
      </c>
      <c r="H62" s="8">
        <v>387.94</v>
      </c>
      <c r="I62" s="8"/>
      <c r="J62" s="8">
        <f t="shared" si="0"/>
        <v>1.0257504570142484</v>
      </c>
      <c r="K62" s="8">
        <f t="shared" si="1"/>
        <v>85.689674667395749</v>
      </c>
      <c r="L62" s="8">
        <v>387.94</v>
      </c>
    </row>
    <row r="63" spans="1:12" x14ac:dyDescent="0.25">
      <c r="A63" s="7">
        <v>18947</v>
      </c>
      <c r="B63" s="7">
        <v>1</v>
      </c>
      <c r="C63" s="7">
        <v>62</v>
      </c>
      <c r="D63" s="7">
        <v>19</v>
      </c>
      <c r="E63" s="7">
        <v>35</v>
      </c>
      <c r="F63" s="8">
        <v>563860.05900000001</v>
      </c>
      <c r="G63" s="8">
        <v>123797.04300000001</v>
      </c>
      <c r="H63" s="8">
        <v>387.91</v>
      </c>
      <c r="I63" s="8"/>
      <c r="J63" s="8">
        <f t="shared" si="0"/>
        <v>2.4853530936070114</v>
      </c>
      <c r="K63" s="8">
        <f t="shared" si="1"/>
        <v>88.175027761002767</v>
      </c>
      <c r="L63" s="8">
        <v>387.91</v>
      </c>
    </row>
    <row r="64" spans="1:12" x14ac:dyDescent="0.25">
      <c r="A64" s="7">
        <v>18947</v>
      </c>
      <c r="B64" s="7">
        <v>1</v>
      </c>
      <c r="C64" s="7">
        <v>63</v>
      </c>
      <c r="D64" s="7">
        <v>19</v>
      </c>
      <c r="E64" s="7">
        <v>35</v>
      </c>
      <c r="F64" s="8">
        <v>563861.20700000005</v>
      </c>
      <c r="G64" s="8">
        <v>123797.965</v>
      </c>
      <c r="H64" s="8">
        <v>388.09</v>
      </c>
      <c r="I64" s="8"/>
      <c r="J64" s="8">
        <f t="shared" si="0"/>
        <v>1.472408910624611</v>
      </c>
      <c r="K64" s="8">
        <f t="shared" si="1"/>
        <v>89.647436671627375</v>
      </c>
      <c r="L64" s="8">
        <v>388.09</v>
      </c>
    </row>
    <row r="65" spans="1:12" x14ac:dyDescent="0.25">
      <c r="A65" s="7">
        <v>18947</v>
      </c>
      <c r="B65" s="7">
        <v>1</v>
      </c>
      <c r="C65" s="7">
        <v>64</v>
      </c>
      <c r="D65" s="7">
        <v>19</v>
      </c>
      <c r="E65" s="7">
        <v>35</v>
      </c>
      <c r="F65" s="8">
        <v>563862.25199999998</v>
      </c>
      <c r="G65" s="8">
        <v>123798.804</v>
      </c>
      <c r="H65" s="8">
        <v>388.03</v>
      </c>
      <c r="I65" s="8"/>
      <c r="J65" s="8">
        <f t="shared" si="0"/>
        <v>1.3401290982052416</v>
      </c>
      <c r="K65" s="8">
        <f t="shared" si="1"/>
        <v>90.987565769832614</v>
      </c>
      <c r="L65" s="8">
        <v>388.03</v>
      </c>
    </row>
    <row r="66" spans="1:12" x14ac:dyDescent="0.25">
      <c r="A66" s="7">
        <v>18947</v>
      </c>
      <c r="B66" s="7">
        <v>1</v>
      </c>
      <c r="C66" s="7">
        <v>65</v>
      </c>
      <c r="D66" s="7">
        <v>19</v>
      </c>
      <c r="E66" s="7">
        <v>35</v>
      </c>
      <c r="F66" s="8">
        <v>563863.26</v>
      </c>
      <c r="G66" s="8">
        <v>123799.613</v>
      </c>
      <c r="H66" s="8">
        <v>388.06</v>
      </c>
      <c r="I66" s="8"/>
      <c r="J66" s="8">
        <f t="shared" si="0"/>
        <v>1.2924956479818321</v>
      </c>
      <c r="K66" s="8">
        <f t="shared" si="1"/>
        <v>92.280061417814451</v>
      </c>
      <c r="L66" s="8">
        <v>388.06</v>
      </c>
    </row>
    <row r="67" spans="1:12" x14ac:dyDescent="0.25">
      <c r="A67" s="7">
        <v>18947</v>
      </c>
      <c r="B67" s="7">
        <v>1</v>
      </c>
      <c r="C67" s="7">
        <v>66</v>
      </c>
      <c r="D67" s="7">
        <v>19</v>
      </c>
      <c r="E67" s="7">
        <v>35</v>
      </c>
      <c r="F67" s="8">
        <v>563864.11100000003</v>
      </c>
      <c r="G67" s="8">
        <v>123800.296</v>
      </c>
      <c r="H67" s="8">
        <v>388.1</v>
      </c>
      <c r="I67" s="8"/>
      <c r="J67" s="8">
        <f t="shared" si="0"/>
        <v>1.0911874266355046</v>
      </c>
      <c r="K67" s="8">
        <f t="shared" si="1"/>
        <v>93.371248844449951</v>
      </c>
      <c r="L67" s="8">
        <v>388.1</v>
      </c>
    </row>
    <row r="68" spans="1:12" x14ac:dyDescent="0.25">
      <c r="A68" s="7">
        <v>18947</v>
      </c>
      <c r="B68" s="7">
        <v>1</v>
      </c>
      <c r="C68" s="7">
        <v>67</v>
      </c>
      <c r="D68" s="7">
        <v>19</v>
      </c>
      <c r="E68" s="7">
        <v>35</v>
      </c>
      <c r="F68" s="8">
        <v>563864.88500000001</v>
      </c>
      <c r="G68" s="8">
        <v>123800.91800000001</v>
      </c>
      <c r="H68" s="8">
        <v>388.39</v>
      </c>
      <c r="I68" s="8"/>
      <c r="J68" s="8">
        <f t="shared" ref="J68:J92" si="2">SQRT((F68-F67)^2+(G68-G67)^2)</f>
        <v>0.99295518527589222</v>
      </c>
      <c r="K68" s="8">
        <f t="shared" ref="K68:K92" si="3">K67+J68</f>
        <v>94.36420402972584</v>
      </c>
      <c r="L68" s="8">
        <v>388.39</v>
      </c>
    </row>
    <row r="69" spans="1:12" x14ac:dyDescent="0.25">
      <c r="A69" s="7">
        <v>18947</v>
      </c>
      <c r="B69" s="7">
        <v>1</v>
      </c>
      <c r="C69" s="7">
        <v>68</v>
      </c>
      <c r="D69" s="7">
        <v>19</v>
      </c>
      <c r="E69" s="7">
        <v>35</v>
      </c>
      <c r="F69" s="8">
        <v>563865.56599999999</v>
      </c>
      <c r="G69" s="8">
        <v>123801.46400000001</v>
      </c>
      <c r="H69" s="8">
        <v>388.2</v>
      </c>
      <c r="I69" s="8"/>
      <c r="J69" s="8">
        <f t="shared" si="2"/>
        <v>0.87285565815785804</v>
      </c>
      <c r="K69" s="8">
        <f t="shared" si="3"/>
        <v>95.237059687883701</v>
      </c>
      <c r="L69" s="8">
        <v>388.2</v>
      </c>
    </row>
    <row r="70" spans="1:12" x14ac:dyDescent="0.25">
      <c r="A70" s="7">
        <v>18947</v>
      </c>
      <c r="B70" s="7">
        <v>1</v>
      </c>
      <c r="C70" s="7">
        <v>69</v>
      </c>
      <c r="D70" s="7">
        <v>19</v>
      </c>
      <c r="E70" s="7">
        <v>35</v>
      </c>
      <c r="F70" s="8">
        <v>563866.28</v>
      </c>
      <c r="G70" s="8">
        <v>123802.038</v>
      </c>
      <c r="H70" s="8">
        <v>387.78</v>
      </c>
      <c r="I70" s="8"/>
      <c r="J70" s="8">
        <f t="shared" si="2"/>
        <v>0.91611789636711927</v>
      </c>
      <c r="K70" s="8">
        <f t="shared" si="3"/>
        <v>96.153177584250827</v>
      </c>
      <c r="L70" s="8">
        <v>387.78</v>
      </c>
    </row>
    <row r="71" spans="1:12" x14ac:dyDescent="0.25">
      <c r="A71" s="7">
        <v>18947</v>
      </c>
      <c r="B71" s="7">
        <v>1</v>
      </c>
      <c r="C71" s="7">
        <v>70</v>
      </c>
      <c r="D71" s="7">
        <v>19</v>
      </c>
      <c r="E71" s="7">
        <v>35</v>
      </c>
      <c r="F71" s="8">
        <v>563867.08299999998</v>
      </c>
      <c r="G71" s="8">
        <v>123802.683</v>
      </c>
      <c r="H71" s="8">
        <v>387.65</v>
      </c>
      <c r="I71" s="8"/>
      <c r="J71" s="8">
        <f t="shared" si="2"/>
        <v>1.0299679606351637</v>
      </c>
      <c r="K71" s="8">
        <f t="shared" si="3"/>
        <v>97.183145544885988</v>
      </c>
      <c r="L71" s="8">
        <v>387.65</v>
      </c>
    </row>
    <row r="72" spans="1:12" x14ac:dyDescent="0.25">
      <c r="A72" s="7">
        <v>18947</v>
      </c>
      <c r="B72" s="7">
        <v>1</v>
      </c>
      <c r="C72" s="7">
        <v>71</v>
      </c>
      <c r="D72" s="7">
        <v>19</v>
      </c>
      <c r="E72" s="7">
        <v>35</v>
      </c>
      <c r="F72" s="8">
        <v>563867.87</v>
      </c>
      <c r="G72" s="8">
        <v>123803.314</v>
      </c>
      <c r="H72" s="8">
        <v>387.68</v>
      </c>
      <c r="I72" s="8"/>
      <c r="J72" s="8">
        <f t="shared" si="2"/>
        <v>1.0087269204348377</v>
      </c>
      <c r="K72" s="8">
        <f t="shared" si="3"/>
        <v>98.191872465320827</v>
      </c>
      <c r="L72" s="8">
        <v>387.68</v>
      </c>
    </row>
    <row r="73" spans="1:12" x14ac:dyDescent="0.25">
      <c r="A73" s="7">
        <v>18947</v>
      </c>
      <c r="B73" s="7">
        <v>1</v>
      </c>
      <c r="C73" s="7">
        <v>72</v>
      </c>
      <c r="D73" s="7">
        <v>19</v>
      </c>
      <c r="E73" s="7">
        <v>35</v>
      </c>
      <c r="F73" s="8">
        <v>563868.53799999994</v>
      </c>
      <c r="G73" s="8">
        <v>123803.85</v>
      </c>
      <c r="H73" s="8">
        <v>388.14</v>
      </c>
      <c r="I73" s="8"/>
      <c r="J73" s="8">
        <f t="shared" si="2"/>
        <v>0.85645782145820826</v>
      </c>
      <c r="K73" s="8">
        <f t="shared" si="3"/>
        <v>99.048330286779034</v>
      </c>
      <c r="L73" s="8">
        <v>388.14</v>
      </c>
    </row>
    <row r="74" spans="1:12" x14ac:dyDescent="0.25">
      <c r="A74" s="7">
        <v>18947</v>
      </c>
      <c r="B74" s="7">
        <v>1</v>
      </c>
      <c r="C74" s="7">
        <v>73</v>
      </c>
      <c r="D74" s="7">
        <v>19</v>
      </c>
      <c r="E74" s="7">
        <v>35</v>
      </c>
      <c r="F74" s="8">
        <v>563869.28</v>
      </c>
      <c r="G74" s="8">
        <v>123804.446</v>
      </c>
      <c r="H74" s="8">
        <v>388.82499999999999</v>
      </c>
      <c r="I74" s="8"/>
      <c r="J74" s="8">
        <f t="shared" si="2"/>
        <v>0.95172475018556313</v>
      </c>
      <c r="K74" s="8">
        <f t="shared" si="3"/>
        <v>100.0000550369646</v>
      </c>
      <c r="L74" s="8">
        <v>388.82499999999999</v>
      </c>
    </row>
    <row r="75" spans="1:12" x14ac:dyDescent="0.25">
      <c r="A75" s="7">
        <v>18947</v>
      </c>
      <c r="B75" s="7">
        <v>1</v>
      </c>
      <c r="C75" s="7">
        <v>74</v>
      </c>
      <c r="D75" s="7">
        <v>19</v>
      </c>
      <c r="E75" s="7">
        <v>35</v>
      </c>
      <c r="F75" s="8">
        <v>563869.73600000003</v>
      </c>
      <c r="G75" s="8">
        <v>123804.81299999999</v>
      </c>
      <c r="H75" s="8">
        <v>389.50799999999998</v>
      </c>
      <c r="I75" s="8"/>
      <c r="J75" s="8">
        <f t="shared" si="2"/>
        <v>0.58534178050426222</v>
      </c>
      <c r="K75" s="8">
        <f t="shared" si="3"/>
        <v>100.58539681746886</v>
      </c>
      <c r="L75" s="8">
        <v>389.50799999999998</v>
      </c>
    </row>
    <row r="76" spans="1:12" x14ac:dyDescent="0.25">
      <c r="A76" s="7">
        <v>18947</v>
      </c>
      <c r="B76" s="7">
        <v>1</v>
      </c>
      <c r="C76" s="7">
        <v>75</v>
      </c>
      <c r="D76" s="7">
        <v>22</v>
      </c>
      <c r="E76" s="7">
        <v>35</v>
      </c>
      <c r="F76" s="8">
        <v>563870.20799999998</v>
      </c>
      <c r="G76" s="8">
        <v>123805.19100000001</v>
      </c>
      <c r="H76" s="8">
        <v>389.84199999999998</v>
      </c>
      <c r="I76" s="8"/>
      <c r="J76" s="8">
        <f t="shared" si="2"/>
        <v>0.6047048866696193</v>
      </c>
      <c r="K76" s="8">
        <f t="shared" si="3"/>
        <v>101.19010170413848</v>
      </c>
      <c r="L76" s="8">
        <v>389.84199999999998</v>
      </c>
    </row>
    <row r="77" spans="1:12" x14ac:dyDescent="0.25">
      <c r="A77" s="7">
        <v>18947</v>
      </c>
      <c r="B77" s="7">
        <v>1</v>
      </c>
      <c r="C77" s="7">
        <v>76</v>
      </c>
      <c r="D77" s="7">
        <v>22</v>
      </c>
      <c r="E77" s="7">
        <v>35</v>
      </c>
      <c r="F77" s="8">
        <v>563870.59299999999</v>
      </c>
      <c r="G77" s="8">
        <v>123805.501</v>
      </c>
      <c r="H77" s="8">
        <v>389.96499999999997</v>
      </c>
      <c r="I77" s="8"/>
      <c r="J77" s="8">
        <f t="shared" si="2"/>
        <v>0.49429242357710446</v>
      </c>
      <c r="K77" s="8">
        <f t="shared" si="3"/>
        <v>101.68439412771559</v>
      </c>
      <c r="L77" s="8">
        <v>389.96499999999997</v>
      </c>
    </row>
    <row r="78" spans="1:12" x14ac:dyDescent="0.25">
      <c r="A78" s="7">
        <v>18947</v>
      </c>
      <c r="B78" s="7">
        <v>1</v>
      </c>
      <c r="C78" s="7">
        <v>77</v>
      </c>
      <c r="D78" s="7">
        <v>19</v>
      </c>
      <c r="E78" s="7">
        <v>35</v>
      </c>
      <c r="F78" s="8">
        <v>563870.804</v>
      </c>
      <c r="G78" s="8">
        <v>123805.67</v>
      </c>
      <c r="H78" s="8">
        <v>390.00200000000001</v>
      </c>
      <c r="I78" s="8"/>
      <c r="J78" s="8">
        <f t="shared" si="2"/>
        <v>0.27033682694452577</v>
      </c>
      <c r="K78" s="8">
        <f t="shared" si="3"/>
        <v>101.95473095466012</v>
      </c>
      <c r="L78" s="8">
        <v>390.00200000000001</v>
      </c>
    </row>
    <row r="79" spans="1:12" x14ac:dyDescent="0.25">
      <c r="A79" s="7">
        <v>18947</v>
      </c>
      <c r="B79" s="7">
        <v>1</v>
      </c>
      <c r="C79" s="7">
        <v>78</v>
      </c>
      <c r="D79" s="7">
        <v>22</v>
      </c>
      <c r="E79" s="7">
        <v>35</v>
      </c>
      <c r="F79" s="8">
        <v>563871.12399999995</v>
      </c>
      <c r="G79" s="8">
        <v>123805.927</v>
      </c>
      <c r="H79" s="8">
        <v>390.65899999999999</v>
      </c>
      <c r="I79" s="8"/>
      <c r="J79" s="8">
        <f t="shared" si="2"/>
        <v>0.41042538903688758</v>
      </c>
      <c r="K79" s="8">
        <f t="shared" si="3"/>
        <v>102.36515634369701</v>
      </c>
      <c r="L79" s="8">
        <v>390.65899999999999</v>
      </c>
    </row>
    <row r="80" spans="1:12" x14ac:dyDescent="0.25">
      <c r="A80" s="7">
        <v>18947</v>
      </c>
      <c r="B80" s="7">
        <v>1</v>
      </c>
      <c r="C80" s="7">
        <v>79</v>
      </c>
      <c r="D80" s="7">
        <v>12</v>
      </c>
      <c r="E80" s="7">
        <v>35</v>
      </c>
      <c r="F80" s="8">
        <v>563872.46499999997</v>
      </c>
      <c r="G80" s="8">
        <v>123807.004</v>
      </c>
      <c r="H80" s="8">
        <v>391.57400000000001</v>
      </c>
      <c r="I80" s="8"/>
      <c r="J80" s="8">
        <f t="shared" si="2"/>
        <v>1.7199447665696264</v>
      </c>
      <c r="K80" s="8">
        <f t="shared" si="3"/>
        <v>104.08510111026663</v>
      </c>
      <c r="L80" s="8">
        <v>391.57400000000001</v>
      </c>
    </row>
    <row r="81" spans="1:12" x14ac:dyDescent="0.25">
      <c r="A81" s="7">
        <v>18947</v>
      </c>
      <c r="B81" s="7">
        <v>1</v>
      </c>
      <c r="C81" s="7">
        <v>80</v>
      </c>
      <c r="D81" s="7">
        <v>12</v>
      </c>
      <c r="E81" s="7">
        <v>35</v>
      </c>
      <c r="F81" s="8">
        <v>563873.64199999999</v>
      </c>
      <c r="G81" s="8">
        <v>123807.94899999999</v>
      </c>
      <c r="H81" s="8">
        <v>392.52199999999999</v>
      </c>
      <c r="I81" s="8"/>
      <c r="J81" s="8">
        <f t="shared" si="2"/>
        <v>1.5094217435974915</v>
      </c>
      <c r="K81" s="8">
        <f t="shared" si="3"/>
        <v>105.59452285386412</v>
      </c>
      <c r="L81" s="8">
        <v>392.52199999999999</v>
      </c>
    </row>
    <row r="82" spans="1:12" x14ac:dyDescent="0.25">
      <c r="A82" s="7">
        <v>18947</v>
      </c>
      <c r="B82" s="7">
        <v>1</v>
      </c>
      <c r="C82" s="7">
        <v>81</v>
      </c>
      <c r="D82" s="7">
        <v>12</v>
      </c>
      <c r="E82" s="7">
        <v>35</v>
      </c>
      <c r="F82" s="8">
        <v>563874.43299999996</v>
      </c>
      <c r="G82" s="8">
        <v>123808.584</v>
      </c>
      <c r="H82" s="8">
        <v>393.24799999999999</v>
      </c>
      <c r="I82" s="8"/>
      <c r="J82" s="8">
        <f t="shared" si="2"/>
        <v>1.0143500381829409</v>
      </c>
      <c r="K82" s="8">
        <f t="shared" si="3"/>
        <v>106.60887289204706</v>
      </c>
      <c r="L82" s="8">
        <v>393.24799999999999</v>
      </c>
    </row>
    <row r="83" spans="1:12" x14ac:dyDescent="0.25">
      <c r="A83" s="7">
        <v>18947</v>
      </c>
      <c r="B83" s="7">
        <v>1</v>
      </c>
      <c r="C83" s="7">
        <v>82</v>
      </c>
      <c r="D83" s="7">
        <v>12</v>
      </c>
      <c r="E83" s="7">
        <v>35</v>
      </c>
      <c r="F83" s="8">
        <v>563875.46400000004</v>
      </c>
      <c r="G83" s="8">
        <v>123809.412</v>
      </c>
      <c r="H83" s="8">
        <v>393.39</v>
      </c>
      <c r="I83" s="8"/>
      <c r="J83" s="8">
        <f t="shared" si="2"/>
        <v>1.3223256029230166</v>
      </c>
      <c r="K83" s="8">
        <f t="shared" si="3"/>
        <v>107.93119849497008</v>
      </c>
      <c r="L83" s="8">
        <v>393.39</v>
      </c>
    </row>
    <row r="84" spans="1:12" x14ac:dyDescent="0.25">
      <c r="A84" s="7">
        <v>18947</v>
      </c>
      <c r="B84" s="7">
        <v>1</v>
      </c>
      <c r="C84" s="7">
        <v>83</v>
      </c>
      <c r="D84" s="7">
        <v>14</v>
      </c>
      <c r="E84" s="7">
        <v>35</v>
      </c>
      <c r="F84" s="8">
        <v>563876.46799999999</v>
      </c>
      <c r="G84" s="8">
        <v>123810.217</v>
      </c>
      <c r="H84" s="8">
        <v>393.75599999999997</v>
      </c>
      <c r="I84" s="8"/>
      <c r="J84" s="8">
        <f t="shared" si="2"/>
        <v>1.2868725655348157</v>
      </c>
      <c r="K84" s="8">
        <f t="shared" si="3"/>
        <v>109.2180710605049</v>
      </c>
      <c r="L84" s="8">
        <v>393.75599999999997</v>
      </c>
    </row>
    <row r="85" spans="1:12" x14ac:dyDescent="0.25">
      <c r="A85" s="7">
        <v>18947</v>
      </c>
      <c r="B85" s="7">
        <v>1</v>
      </c>
      <c r="C85" s="7">
        <v>84</v>
      </c>
      <c r="D85" s="7">
        <v>10</v>
      </c>
      <c r="E85" s="7">
        <v>32</v>
      </c>
      <c r="F85" s="8">
        <v>563878.08400000003</v>
      </c>
      <c r="G85" s="8">
        <v>123811.467</v>
      </c>
      <c r="H85" s="8">
        <v>395.74700000000001</v>
      </c>
      <c r="I85" s="8"/>
      <c r="J85" s="8">
        <f t="shared" si="2"/>
        <v>2.0430261868423054</v>
      </c>
      <c r="K85" s="8">
        <f t="shared" si="3"/>
        <v>111.26109724734721</v>
      </c>
      <c r="L85" s="8">
        <v>395.74700000000001</v>
      </c>
    </row>
    <row r="86" spans="1:12" x14ac:dyDescent="0.25">
      <c r="A86" s="7">
        <v>18947</v>
      </c>
      <c r="B86" s="7">
        <v>1</v>
      </c>
      <c r="C86" s="7">
        <v>85</v>
      </c>
      <c r="D86" s="7">
        <v>14</v>
      </c>
      <c r="E86" s="7">
        <v>35</v>
      </c>
      <c r="F86" s="8">
        <v>563878.31099999999</v>
      </c>
      <c r="G86" s="8">
        <v>123811.697</v>
      </c>
      <c r="H86" s="8">
        <v>395.09199999999998</v>
      </c>
      <c r="I86" s="8"/>
      <c r="J86" s="8">
        <f t="shared" si="2"/>
        <v>0.32315476165117901</v>
      </c>
      <c r="K86" s="8">
        <f t="shared" si="3"/>
        <v>111.58425200899839</v>
      </c>
      <c r="L86" s="8">
        <v>395.09199999999998</v>
      </c>
    </row>
    <row r="87" spans="1:12" x14ac:dyDescent="0.25">
      <c r="A87" s="7">
        <v>18947</v>
      </c>
      <c r="B87" s="7">
        <v>1</v>
      </c>
      <c r="C87" s="7">
        <v>86</v>
      </c>
      <c r="D87" s="7">
        <v>14</v>
      </c>
      <c r="E87" s="7">
        <v>35</v>
      </c>
      <c r="F87" s="8">
        <v>563878.804</v>
      </c>
      <c r="G87" s="8">
        <v>123812.09299999999</v>
      </c>
      <c r="H87" s="8">
        <v>395.27699999999999</v>
      </c>
      <c r="I87" s="8"/>
      <c r="J87" s="8">
        <f t="shared" si="2"/>
        <v>0.63234879616495965</v>
      </c>
      <c r="K87" s="8">
        <f t="shared" si="3"/>
        <v>112.21660080516335</v>
      </c>
      <c r="L87" s="8">
        <v>395.27699999999999</v>
      </c>
    </row>
    <row r="88" spans="1:12" x14ac:dyDescent="0.25">
      <c r="A88" s="7">
        <v>18947</v>
      </c>
      <c r="B88" s="7">
        <v>1</v>
      </c>
      <c r="C88" s="7">
        <v>87</v>
      </c>
      <c r="D88" s="7">
        <v>11</v>
      </c>
      <c r="E88" s="7">
        <v>35</v>
      </c>
      <c r="F88" s="8">
        <v>563880.99399999995</v>
      </c>
      <c r="G88" s="8">
        <v>123813.851</v>
      </c>
      <c r="H88" s="8">
        <v>395.27300000000002</v>
      </c>
      <c r="I88" s="8"/>
      <c r="J88" s="8">
        <f t="shared" si="2"/>
        <v>2.8083204944879383</v>
      </c>
      <c r="K88" s="8">
        <f t="shared" si="3"/>
        <v>115.0249212996513</v>
      </c>
      <c r="L88" s="8">
        <v>395.27300000000002</v>
      </c>
    </row>
    <row r="89" spans="1:12" x14ac:dyDescent="0.25">
      <c r="A89" s="7">
        <v>18947</v>
      </c>
      <c r="B89" s="7">
        <v>1</v>
      </c>
      <c r="C89" s="7">
        <v>88</v>
      </c>
      <c r="D89" s="7">
        <v>14</v>
      </c>
      <c r="E89" s="7">
        <v>35</v>
      </c>
      <c r="F89" s="8">
        <v>563882.17299999995</v>
      </c>
      <c r="G89" s="8">
        <v>123814.798</v>
      </c>
      <c r="H89" s="8">
        <v>395.05399999999997</v>
      </c>
      <c r="I89" s="8"/>
      <c r="J89" s="8">
        <f t="shared" si="2"/>
        <v>1.5122334475896917</v>
      </c>
      <c r="K89" s="8">
        <f t="shared" si="3"/>
        <v>116.53715474724099</v>
      </c>
      <c r="L89" s="8">
        <v>395.05399999999997</v>
      </c>
    </row>
    <row r="90" spans="1:12" x14ac:dyDescent="0.25">
      <c r="A90" s="7">
        <v>18947</v>
      </c>
      <c r="B90" s="7">
        <v>1</v>
      </c>
      <c r="C90" s="7">
        <v>89</v>
      </c>
      <c r="D90" s="7">
        <v>14</v>
      </c>
      <c r="E90" s="7">
        <v>35</v>
      </c>
      <c r="F90" s="8">
        <v>563885.56700000004</v>
      </c>
      <c r="G90" s="8">
        <v>123817.522</v>
      </c>
      <c r="H90" s="8">
        <v>392.28899999999999</v>
      </c>
      <c r="I90" s="8"/>
      <c r="J90" s="8">
        <f t="shared" si="2"/>
        <v>4.3519434739671228</v>
      </c>
      <c r="K90" s="8">
        <f t="shared" si="3"/>
        <v>120.88909822120812</v>
      </c>
      <c r="L90" s="8">
        <v>392.28899999999999</v>
      </c>
    </row>
    <row r="91" spans="1:12" x14ac:dyDescent="0.25">
      <c r="A91" s="7">
        <v>18947</v>
      </c>
      <c r="B91" s="7">
        <v>1</v>
      </c>
      <c r="C91" s="7">
        <v>90</v>
      </c>
      <c r="D91" s="7">
        <v>20</v>
      </c>
      <c r="E91" s="7">
        <v>35</v>
      </c>
      <c r="F91" s="8">
        <v>563887.27899999998</v>
      </c>
      <c r="G91" s="8">
        <v>123818.897</v>
      </c>
      <c r="H91" s="8">
        <v>392.38</v>
      </c>
      <c r="I91" s="8"/>
      <c r="J91" s="8">
        <f t="shared" si="2"/>
        <v>2.1958071408480078</v>
      </c>
      <c r="K91" s="8">
        <f t="shared" si="3"/>
        <v>123.08490536205612</v>
      </c>
      <c r="L91" s="8">
        <v>392.38</v>
      </c>
    </row>
    <row r="92" spans="1:12" x14ac:dyDescent="0.25">
      <c r="A92" s="7">
        <v>18947</v>
      </c>
      <c r="B92" s="7">
        <v>1</v>
      </c>
      <c r="C92" s="7">
        <v>91</v>
      </c>
      <c r="D92" s="7">
        <v>20</v>
      </c>
      <c r="E92" s="7">
        <v>35</v>
      </c>
      <c r="F92" s="8">
        <v>563890.55500000005</v>
      </c>
      <c r="G92" s="8">
        <v>123821.527</v>
      </c>
      <c r="H92" s="8">
        <v>391.97300000000001</v>
      </c>
      <c r="I92" s="8"/>
      <c r="J92" s="8">
        <f t="shared" si="2"/>
        <v>4.2010803373047088</v>
      </c>
      <c r="K92" s="8">
        <f t="shared" si="3"/>
        <v>127.28598569936082</v>
      </c>
      <c r="L92" s="8">
        <v>391.97300000000001</v>
      </c>
    </row>
    <row r="93" spans="1:12" x14ac:dyDescent="0.25">
      <c r="J93" s="9"/>
      <c r="K93" s="9"/>
      <c r="L93" s="9"/>
    </row>
    <row r="94" spans="1:12" x14ac:dyDescent="0.25">
      <c r="J94" s="9"/>
      <c r="K94" s="9"/>
      <c r="L94" s="9"/>
    </row>
    <row r="95" spans="1:12" x14ac:dyDescent="0.25">
      <c r="J95" s="9"/>
      <c r="K95" s="9"/>
      <c r="L95" s="9"/>
    </row>
    <row r="96" spans="1:12" x14ac:dyDescent="0.25">
      <c r="J96" s="9"/>
      <c r="K96" s="9"/>
      <c r="L96" s="9"/>
    </row>
    <row r="97" spans="10:12" x14ac:dyDescent="0.25">
      <c r="J97" s="9"/>
      <c r="K97" s="9"/>
      <c r="L97" s="9"/>
    </row>
    <row r="98" spans="10:12" x14ac:dyDescent="0.25">
      <c r="J98" s="9"/>
      <c r="K98" s="9"/>
      <c r="L98" s="9"/>
    </row>
    <row r="99" spans="10:12" x14ac:dyDescent="0.25">
      <c r="J99" s="9"/>
      <c r="K99" s="9"/>
      <c r="L99" s="9"/>
    </row>
    <row r="100" spans="10:12" x14ac:dyDescent="0.25">
      <c r="J100" s="9"/>
      <c r="K100" s="9"/>
      <c r="L100" s="9"/>
    </row>
    <row r="101" spans="10:12" x14ac:dyDescent="0.25">
      <c r="J101" s="9"/>
      <c r="K101" s="9"/>
      <c r="L101" s="9"/>
    </row>
    <row r="102" spans="10:12" x14ac:dyDescent="0.25">
      <c r="J102" s="9"/>
      <c r="K102" s="9"/>
      <c r="L102" s="9"/>
    </row>
    <row r="103" spans="10:12" x14ac:dyDescent="0.25">
      <c r="J103" s="9"/>
      <c r="K103" s="9"/>
      <c r="L103" s="9"/>
    </row>
    <row r="104" spans="10:12" x14ac:dyDescent="0.25">
      <c r="J104" s="9"/>
      <c r="K104" s="9"/>
      <c r="L104" s="9"/>
    </row>
    <row r="105" spans="10:12" x14ac:dyDescent="0.25">
      <c r="J105" s="9"/>
      <c r="K105" s="9"/>
      <c r="L105" s="9"/>
    </row>
    <row r="106" spans="10:12" x14ac:dyDescent="0.25">
      <c r="J106" s="9"/>
      <c r="K106" s="9"/>
      <c r="L106" s="9"/>
    </row>
    <row r="107" spans="10:12" x14ac:dyDescent="0.25">
      <c r="J107" s="9"/>
      <c r="K107" s="9"/>
      <c r="L107" s="9"/>
    </row>
    <row r="108" spans="10:12" x14ac:dyDescent="0.25">
      <c r="J108" s="9"/>
      <c r="K108" s="9"/>
      <c r="L108" s="9"/>
    </row>
    <row r="109" spans="10:12" x14ac:dyDescent="0.25">
      <c r="J109" s="9"/>
      <c r="K109" s="9"/>
      <c r="L109" s="9"/>
    </row>
    <row r="110" spans="10:12" x14ac:dyDescent="0.25">
      <c r="J110" s="9"/>
      <c r="K110" s="9"/>
      <c r="L110" s="9"/>
    </row>
    <row r="111" spans="10:12" x14ac:dyDescent="0.25">
      <c r="J111" s="9"/>
      <c r="K111" s="9"/>
      <c r="L111" s="9"/>
    </row>
    <row r="112" spans="10:12" x14ac:dyDescent="0.25">
      <c r="J112" s="9"/>
      <c r="K112" s="9"/>
      <c r="L112" s="9"/>
    </row>
    <row r="113" spans="10:12" x14ac:dyDescent="0.25">
      <c r="J113" s="9"/>
      <c r="K113" s="9"/>
      <c r="L113" s="9"/>
    </row>
    <row r="114" spans="10:12" x14ac:dyDescent="0.25">
      <c r="J114" s="9"/>
      <c r="K114" s="9"/>
      <c r="L114" s="9"/>
    </row>
    <row r="115" spans="10:12" x14ac:dyDescent="0.25">
      <c r="J115" s="9"/>
      <c r="K115" s="9"/>
      <c r="L115" s="9"/>
    </row>
    <row r="116" spans="10:12" x14ac:dyDescent="0.25">
      <c r="J116" s="9"/>
      <c r="K116" s="9"/>
      <c r="L116" s="9"/>
    </row>
    <row r="117" spans="10:12" x14ac:dyDescent="0.25">
      <c r="J117" s="9"/>
      <c r="K117" s="9"/>
      <c r="L117" s="9"/>
    </row>
    <row r="118" spans="10:12" x14ac:dyDescent="0.25">
      <c r="J118" s="9"/>
      <c r="K118" s="9"/>
      <c r="L118" s="9"/>
    </row>
    <row r="119" spans="10:12" x14ac:dyDescent="0.25">
      <c r="J119" s="9"/>
      <c r="K119" s="9"/>
      <c r="L119" s="9"/>
    </row>
    <row r="120" spans="10:12" x14ac:dyDescent="0.25">
      <c r="J120" s="9"/>
      <c r="K120" s="9"/>
      <c r="L120" s="9"/>
    </row>
    <row r="121" spans="10:12" x14ac:dyDescent="0.25">
      <c r="J121" s="9"/>
      <c r="K121" s="9"/>
      <c r="L121" s="9"/>
    </row>
    <row r="122" spans="10:12" x14ac:dyDescent="0.25">
      <c r="J122" s="9"/>
      <c r="K122" s="9"/>
      <c r="L122" s="9"/>
    </row>
    <row r="123" spans="10:12" x14ac:dyDescent="0.25">
      <c r="J123" s="9"/>
      <c r="K123" s="9"/>
      <c r="L123" s="9"/>
    </row>
    <row r="124" spans="10:12" x14ac:dyDescent="0.25">
      <c r="J124" s="9"/>
      <c r="K124" s="9"/>
      <c r="L124" s="9"/>
    </row>
    <row r="125" spans="10:12" x14ac:dyDescent="0.25">
      <c r="J125" s="9"/>
      <c r="K125" s="9"/>
      <c r="L125" s="9"/>
    </row>
    <row r="126" spans="10:12" x14ac:dyDescent="0.25">
      <c r="J126" s="9"/>
      <c r="K126" s="9"/>
      <c r="L126" s="9"/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0"/>
  <sheetViews>
    <sheetView workbookViewId="0">
      <selection activeCell="G38" sqref="G38"/>
    </sheetView>
  </sheetViews>
  <sheetFormatPr defaultRowHeight="13.2" x14ac:dyDescent="0.25"/>
  <cols>
    <col min="1" max="1" width="12.109375" style="15" bestFit="1" customWidth="1"/>
    <col min="2" max="2" width="22.88671875" style="15" bestFit="1" customWidth="1"/>
    <col min="3" max="16384" width="8.88671875" style="15"/>
  </cols>
  <sheetData>
    <row r="1" spans="1:2" x14ac:dyDescent="0.25">
      <c r="A1" s="13" t="s">
        <v>7</v>
      </c>
      <c r="B1" s="13" t="s">
        <v>8</v>
      </c>
    </row>
    <row r="2" spans="1:2" ht="14.4" x14ac:dyDescent="0.25">
      <c r="A2" s="16">
        <v>0</v>
      </c>
      <c r="B2" s="16">
        <v>0.15</v>
      </c>
    </row>
    <row r="3" spans="1:2" ht="14.4" x14ac:dyDescent="0.25">
      <c r="A3" s="16">
        <v>16</v>
      </c>
      <c r="B3" s="16">
        <v>0.44999999999999996</v>
      </c>
    </row>
    <row r="4" spans="1:2" ht="14.4" x14ac:dyDescent="0.25">
      <c r="A4" s="16">
        <v>33</v>
      </c>
      <c r="B4" s="16">
        <v>1.2</v>
      </c>
    </row>
    <row r="5" spans="1:2" ht="14.4" x14ac:dyDescent="0.25">
      <c r="A5" s="16">
        <v>46.7</v>
      </c>
      <c r="B5" s="16">
        <v>2.4</v>
      </c>
    </row>
    <row r="6" spans="1:2" ht="14.4" x14ac:dyDescent="0.25">
      <c r="A6" s="16">
        <v>57.9</v>
      </c>
      <c r="B6" s="16">
        <v>3.5999999999999996</v>
      </c>
    </row>
    <row r="7" spans="1:2" ht="14.4" x14ac:dyDescent="0.25">
      <c r="A7" s="16">
        <v>66.100000000000009</v>
      </c>
      <c r="B7" s="16">
        <v>4.8</v>
      </c>
    </row>
    <row r="8" spans="1:2" ht="14.4" x14ac:dyDescent="0.25">
      <c r="A8" s="16">
        <v>80.900000000000006</v>
      </c>
      <c r="B8" s="16">
        <v>7.1999999999999993</v>
      </c>
    </row>
    <row r="9" spans="1:2" ht="14.4" x14ac:dyDescent="0.25">
      <c r="A9" s="16">
        <v>90</v>
      </c>
      <c r="B9" s="16">
        <v>10</v>
      </c>
    </row>
    <row r="10" spans="1:2" ht="14.4" x14ac:dyDescent="0.25">
      <c r="A10" s="16">
        <v>100</v>
      </c>
      <c r="B10" s="16">
        <v>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203"/>
  <sheetViews>
    <sheetView tabSelected="1" workbookViewId="0">
      <selection activeCell="G35" sqref="G35"/>
    </sheetView>
  </sheetViews>
  <sheetFormatPr defaultRowHeight="15.6" customHeight="1" x14ac:dyDescent="0.25"/>
  <cols>
    <col min="1" max="4" width="20.5546875" style="12" customWidth="1"/>
    <col min="5" max="6" width="20.5546875" style="15" customWidth="1"/>
    <col min="7" max="7" width="8.88671875" style="12"/>
    <col min="8" max="8" width="32.77734375" style="12" bestFit="1" customWidth="1"/>
    <col min="9" max="9" width="8.88671875" style="12"/>
    <col min="10" max="10" width="12" style="12" bestFit="1" customWidth="1"/>
    <col min="11" max="13" width="8.88671875" style="12"/>
    <col min="14" max="14" width="13.109375" style="12" bestFit="1" customWidth="1"/>
    <col min="15" max="16384" width="8.88671875" style="12"/>
  </cols>
  <sheetData>
    <row r="1" spans="1:21" s="24" customFormat="1" ht="42" x14ac:dyDescent="0.25">
      <c r="A1" s="22" t="s">
        <v>21</v>
      </c>
      <c r="B1" s="22" t="s">
        <v>20</v>
      </c>
      <c r="C1" s="22" t="s">
        <v>25</v>
      </c>
      <c r="D1" s="22" t="s">
        <v>26</v>
      </c>
      <c r="E1" s="23" t="s">
        <v>22</v>
      </c>
      <c r="F1" s="23" t="s">
        <v>23</v>
      </c>
      <c r="H1" s="25" t="s">
        <v>13</v>
      </c>
      <c r="I1" s="23" t="s">
        <v>14</v>
      </c>
      <c r="J1" s="23" t="s">
        <v>15</v>
      </c>
      <c r="K1" s="23" t="s">
        <v>16</v>
      </c>
      <c r="L1" s="26"/>
    </row>
    <row r="2" spans="1:21" ht="15.6" customHeight="1" x14ac:dyDescent="0.25">
      <c r="A2" s="19">
        <v>1E-4</v>
      </c>
      <c r="B2" s="20">
        <f>(A2^3*($J$2-$J$3)*$J$4/($J$3*$J$5^2))^(1/3)</f>
        <v>2.1064301274112318</v>
      </c>
      <c r="C2" s="20">
        <f>0.13*(B2^(-0.392))*EXP(-0.015*(B2^2))+0.045*(1-EXP(-0.068*B2))</f>
        <v>9.6830887855938894E-2</v>
      </c>
      <c r="D2" s="20">
        <f>(B2^3*C2)^0.5</f>
        <v>0.9513220071749855</v>
      </c>
      <c r="E2" s="14">
        <v>1</v>
      </c>
      <c r="F2" s="21">
        <f>IF(E2&lt;=4,0.24*E2^(-1),IF(E2&lt;=10,0.14*E2^(-0.64),IF(E2&lt;=20,0.04*E2^(-0.1),IF(E2&lt;=150,0.013*E2^(0.29),0.055))))</f>
        <v>0.24</v>
      </c>
      <c r="H2" s="10" t="s">
        <v>30</v>
      </c>
      <c r="I2" s="13" t="s">
        <v>9</v>
      </c>
      <c r="J2" s="14">
        <v>2650</v>
      </c>
      <c r="K2" s="13" t="s">
        <v>19</v>
      </c>
    </row>
    <row r="3" spans="1:21" ht="15.6" customHeight="1" x14ac:dyDescent="0.25">
      <c r="A3" s="19">
        <v>1.4999999999999999E-4</v>
      </c>
      <c r="B3" s="20">
        <f t="shared" ref="B3:B66" si="0">(A3^3*($J$2-$J$3)*$J$4/($J$3*$J$5^2))^(1/3)</f>
        <v>3.1596451911168475</v>
      </c>
      <c r="C3" s="20">
        <f>0.13*(B3^(-0.392))*EXP(-0.015*(B3^2))+0.045*(1-EXP(-0.068*B3))</f>
        <v>7.9993811648735758E-2</v>
      </c>
      <c r="D3" s="20">
        <f>(B3^3*C3)^0.5</f>
        <v>1.588494336103798</v>
      </c>
      <c r="E3" s="14">
        <v>2</v>
      </c>
      <c r="F3" s="21">
        <f t="shared" ref="F3:F66" si="1">IF(E3&lt;=4,0.24*E3^(-1),IF(E3&lt;=10,0.14*E3^(-0.64),IF(E3&lt;=20,0.04*E3^(-0.1),IF(E3&lt;=150,0.013*E3^(0.29),0.055))))</f>
        <v>0.12</v>
      </c>
      <c r="H3" s="10" t="s">
        <v>29</v>
      </c>
      <c r="I3" s="13" t="s">
        <v>10</v>
      </c>
      <c r="J3" s="14">
        <v>1000</v>
      </c>
      <c r="K3" s="13" t="s">
        <v>19</v>
      </c>
    </row>
    <row r="4" spans="1:21" ht="15.6" customHeight="1" x14ac:dyDescent="0.25">
      <c r="A4" s="19">
        <v>2.0000000000000001E-4</v>
      </c>
      <c r="B4" s="20">
        <f t="shared" si="0"/>
        <v>4.2128602548224636</v>
      </c>
      <c r="C4" s="20">
        <f t="shared" ref="C4:C67" si="2">0.13*(B4^(-0.392))*EXP(-0.015*(B4^2))+0.045*(1-EXP(-0.068*B4))</f>
        <v>6.7897074541305946E-2</v>
      </c>
      <c r="D4" s="20">
        <f t="shared" ref="D4:D25" si="3">(B4^3*C4)^0.5</f>
        <v>2.253155219367422</v>
      </c>
      <c r="E4" s="14">
        <v>3</v>
      </c>
      <c r="F4" s="21">
        <f t="shared" si="1"/>
        <v>7.9999999999999988E-2</v>
      </c>
      <c r="H4" s="10" t="s">
        <v>17</v>
      </c>
      <c r="I4" s="14" t="s">
        <v>0</v>
      </c>
      <c r="J4" s="14">
        <v>9.81</v>
      </c>
      <c r="K4" s="13" t="s">
        <v>18</v>
      </c>
      <c r="O4" s="17"/>
    </row>
    <row r="5" spans="1:21" ht="15.6" customHeight="1" x14ac:dyDescent="0.25">
      <c r="A5" s="19">
        <v>2.5000000000000001E-4</v>
      </c>
      <c r="B5" s="20">
        <f t="shared" si="0"/>
        <v>5.2660753185280793</v>
      </c>
      <c r="C5" s="20">
        <f t="shared" si="2"/>
        <v>5.8260907871272041E-2</v>
      </c>
      <c r="D5" s="20">
        <f t="shared" si="3"/>
        <v>2.9168844381295149</v>
      </c>
      <c r="E5" s="14">
        <v>4</v>
      </c>
      <c r="F5" s="21">
        <f t="shared" si="1"/>
        <v>0.06</v>
      </c>
      <c r="H5" s="10" t="s">
        <v>28</v>
      </c>
      <c r="I5" s="13" t="s">
        <v>11</v>
      </c>
      <c r="J5" s="29">
        <v>1.316E-6</v>
      </c>
      <c r="K5" s="13" t="s">
        <v>12</v>
      </c>
      <c r="O5" s="17"/>
    </row>
    <row r="6" spans="1:21" ht="15.6" customHeight="1" x14ac:dyDescent="0.25">
      <c r="A6" s="19">
        <v>2.9999999999999997E-4</v>
      </c>
      <c r="B6" s="20">
        <f t="shared" si="0"/>
        <v>6.3192903822336959</v>
      </c>
      <c r="C6" s="20">
        <f t="shared" si="2"/>
        <v>5.0387414271822459E-2</v>
      </c>
      <c r="D6" s="20">
        <f t="shared" si="3"/>
        <v>3.5658535667995208</v>
      </c>
      <c r="E6" s="14">
        <v>5</v>
      </c>
      <c r="F6" s="21">
        <f t="shared" si="1"/>
        <v>4.9978962088345874E-2</v>
      </c>
      <c r="O6" s="18"/>
    </row>
    <row r="7" spans="1:21" ht="15.6" customHeight="1" x14ac:dyDescent="0.25">
      <c r="A7" s="19">
        <v>3.5E-4</v>
      </c>
      <c r="B7" s="20">
        <f t="shared" si="0"/>
        <v>7.3725054459393116</v>
      </c>
      <c r="C7" s="20">
        <f t="shared" si="2"/>
        <v>4.4030232626733307E-2</v>
      </c>
      <c r="D7" s="20">
        <f t="shared" si="3"/>
        <v>4.2004724735092012</v>
      </c>
      <c r="E7" s="14">
        <v>6</v>
      </c>
      <c r="F7" s="21">
        <f t="shared" si="1"/>
        <v>4.4474516503848864E-2</v>
      </c>
      <c r="H7" s="27" t="s">
        <v>27</v>
      </c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</row>
    <row r="8" spans="1:21" ht="15.6" customHeight="1" x14ac:dyDescent="0.25">
      <c r="A8" s="19">
        <v>4.0000000000000002E-4</v>
      </c>
      <c r="B8" s="20">
        <f t="shared" si="0"/>
        <v>8.4257205096449255</v>
      </c>
      <c r="C8" s="20">
        <f t="shared" si="2"/>
        <v>3.9063277221977014E-2</v>
      </c>
      <c r="D8" s="20">
        <f t="shared" si="3"/>
        <v>4.8338693863105728</v>
      </c>
      <c r="E8" s="14">
        <v>7</v>
      </c>
      <c r="F8" s="21">
        <f t="shared" si="1"/>
        <v>4.0296311036778679E-2</v>
      </c>
      <c r="H8" s="28" t="s">
        <v>24</v>
      </c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1:21" ht="15.6" customHeight="1" x14ac:dyDescent="0.25">
      <c r="A9" s="19">
        <v>4.4999999999999999E-4</v>
      </c>
      <c r="B9" s="20">
        <f t="shared" si="0"/>
        <v>9.478935573350542</v>
      </c>
      <c r="C9" s="20">
        <f>0.13*(B9^(-0.392))*EXP(-0.015*(B9^2))+0.045*(1-EXP(-0.068*B9))</f>
        <v>3.5367207069761687E-2</v>
      </c>
      <c r="D9" s="20">
        <f>(B9^3*C9)^0.5</f>
        <v>5.488323974517205</v>
      </c>
      <c r="E9" s="14">
        <v>8</v>
      </c>
      <c r="F9" s="21">
        <f t="shared" si="1"/>
        <v>3.6995631419648324E-2</v>
      </c>
    </row>
    <row r="10" spans="1:21" ht="15.6" customHeight="1" x14ac:dyDescent="0.25">
      <c r="A10" s="19">
        <v>5.0000000000000001E-4</v>
      </c>
      <c r="B10" s="20">
        <f t="shared" si="0"/>
        <v>10.532150637056157</v>
      </c>
      <c r="C10" s="20">
        <f t="shared" si="2"/>
        <v>3.2796018030068423E-2</v>
      </c>
      <c r="D10" s="20">
        <f t="shared" si="3"/>
        <v>6.189935893933372</v>
      </c>
      <c r="E10" s="14">
        <v>9</v>
      </c>
      <c r="F10" s="21">
        <f t="shared" si="1"/>
        <v>3.4309376807183378E-2</v>
      </c>
    </row>
    <row r="11" spans="1:21" ht="15.6" customHeight="1" x14ac:dyDescent="0.25">
      <c r="A11" s="19">
        <v>5.5000000000000003E-4</v>
      </c>
      <c r="B11" s="20">
        <f t="shared" si="0"/>
        <v>11.585365700761772</v>
      </c>
      <c r="C11" s="20">
        <f>0.13*(B11^(-0.392))*EXP(-0.015*(B11^2))+0.045*(1-EXP(-0.068*B11))</f>
        <v>3.1177503351705157E-2</v>
      </c>
      <c r="D11" s="20">
        <f t="shared" si="3"/>
        <v>6.9628219228996144</v>
      </c>
      <c r="E11" s="14">
        <v>10</v>
      </c>
      <c r="F11" s="21">
        <f t="shared" si="1"/>
        <v>3.2072147138748827E-2</v>
      </c>
    </row>
    <row r="12" spans="1:21" ht="15.6" customHeight="1" x14ac:dyDescent="0.25">
      <c r="A12" s="19">
        <v>5.9999999999999995E-4</v>
      </c>
      <c r="B12" s="20">
        <f t="shared" si="0"/>
        <v>12.638580764467386</v>
      </c>
      <c r="C12" s="20">
        <f t="shared" si="2"/>
        <v>3.0327041616094307E-2</v>
      </c>
      <c r="D12" s="20">
        <f t="shared" si="3"/>
        <v>7.8246061331302323</v>
      </c>
      <c r="E12" s="14">
        <v>11</v>
      </c>
      <c r="F12" s="21">
        <f t="shared" si="1"/>
        <v>3.1471737687870885E-2</v>
      </c>
    </row>
    <row r="13" spans="1:21" ht="15.6" customHeight="1" x14ac:dyDescent="0.25">
      <c r="A13" s="19">
        <v>6.4999999999999997E-4</v>
      </c>
      <c r="B13" s="20">
        <f t="shared" si="0"/>
        <v>13.691795828173001</v>
      </c>
      <c r="C13" s="20">
        <f t="shared" si="2"/>
        <v>3.0064000566295931E-2</v>
      </c>
      <c r="D13" s="20">
        <f t="shared" si="3"/>
        <v>8.7844385054986152</v>
      </c>
      <c r="E13" s="14">
        <v>12</v>
      </c>
      <c r="F13" s="21">
        <f t="shared" si="1"/>
        <v>3.1199085676172134E-2</v>
      </c>
    </row>
    <row r="14" spans="1:21" ht="15.6" customHeight="1" x14ac:dyDescent="0.25">
      <c r="A14" s="19">
        <v>6.9999999999999999E-4</v>
      </c>
      <c r="B14" s="20">
        <f t="shared" si="0"/>
        <v>14.745010891878621</v>
      </c>
      <c r="C14" s="20">
        <f t="shared" si="2"/>
        <v>3.0225216080150098E-2</v>
      </c>
      <c r="D14" s="20">
        <f t="shared" si="3"/>
        <v>9.8435636465067624</v>
      </c>
      <c r="E14" s="14">
        <v>13</v>
      </c>
      <c r="F14" s="21">
        <f t="shared" si="1"/>
        <v>3.0950356522444076E-2</v>
      </c>
    </row>
    <row r="15" spans="1:21" ht="15.6" customHeight="1" x14ac:dyDescent="0.25">
      <c r="A15" s="19">
        <v>7.5000000000000002E-4</v>
      </c>
      <c r="B15" s="20">
        <f t="shared" si="0"/>
        <v>15.79822595558424</v>
      </c>
      <c r="C15" s="20">
        <f t="shared" si="2"/>
        <v>3.0673314641525801E-2</v>
      </c>
      <c r="D15" s="20">
        <f t="shared" si="3"/>
        <v>10.997471277441873</v>
      </c>
      <c r="E15" s="14">
        <v>14</v>
      </c>
      <c r="F15" s="21">
        <f t="shared" si="1"/>
        <v>3.0721837506409409E-2</v>
      </c>
    </row>
    <row r="16" spans="1:21" ht="15.6" customHeight="1" x14ac:dyDescent="0.25">
      <c r="A16" s="19">
        <v>8.0000000000000004E-4</v>
      </c>
      <c r="B16" s="20">
        <f t="shared" si="0"/>
        <v>16.851441019289854</v>
      </c>
      <c r="C16" s="20">
        <f t="shared" si="2"/>
        <v>3.1299786910057824E-2</v>
      </c>
      <c r="D16" s="20">
        <f t="shared" si="3"/>
        <v>12.238445478636788</v>
      </c>
      <c r="E16" s="14">
        <v>15</v>
      </c>
      <c r="F16" s="21">
        <f t="shared" si="1"/>
        <v>3.0510608231307041E-2</v>
      </c>
    </row>
    <row r="17" spans="1:6" ht="15.6" customHeight="1" x14ac:dyDescent="0.25">
      <c r="A17" s="19">
        <v>8.4999999999999995E-4</v>
      </c>
      <c r="B17" s="20">
        <f t="shared" si="0"/>
        <v>17.904656082995466</v>
      </c>
      <c r="C17" s="20">
        <f t="shared" si="2"/>
        <v>3.202391145138711E-2</v>
      </c>
      <c r="D17" s="20">
        <f t="shared" si="3"/>
        <v>13.557704478062618</v>
      </c>
      <c r="E17" s="14">
        <v>16</v>
      </c>
      <c r="F17" s="21">
        <f t="shared" si="1"/>
        <v>3.0314331330207965E-2</v>
      </c>
    </row>
    <row r="18" spans="1:6" ht="15.6" customHeight="1" x14ac:dyDescent="0.25">
      <c r="A18" s="19">
        <v>8.9999999999999998E-4</v>
      </c>
      <c r="B18" s="20">
        <f t="shared" si="0"/>
        <v>18.957871146701077</v>
      </c>
      <c r="C18" s="20">
        <f t="shared" si="2"/>
        <v>3.2789064130873874E-2</v>
      </c>
      <c r="D18" s="20">
        <f t="shared" si="3"/>
        <v>14.946821954302155</v>
      </c>
      <c r="E18" s="14">
        <v>17</v>
      </c>
      <c r="F18" s="21">
        <f t="shared" si="1"/>
        <v>3.0131107797001559E-2</v>
      </c>
    </row>
    <row r="19" spans="1:6" ht="15.6" customHeight="1" x14ac:dyDescent="0.25">
      <c r="A19" s="19">
        <v>9.5E-4</v>
      </c>
      <c r="B19" s="20">
        <f t="shared" si="0"/>
        <v>20.011086210406699</v>
      </c>
      <c r="C19" s="20">
        <f t="shared" si="2"/>
        <v>3.3557866948996304E-2</v>
      </c>
      <c r="D19" s="20">
        <f t="shared" si="3"/>
        <v>16.398463909468418</v>
      </c>
      <c r="E19" s="14">
        <v>18</v>
      </c>
      <c r="F19" s="21">
        <f t="shared" si="1"/>
        <v>2.9959374432003073E-2</v>
      </c>
    </row>
    <row r="20" spans="1:6" ht="15.6" customHeight="1" x14ac:dyDescent="0.25">
      <c r="A20" s="19">
        <v>1E-3</v>
      </c>
      <c r="B20" s="20">
        <f t="shared" si="0"/>
        <v>21.064301274112317</v>
      </c>
      <c r="C20" s="20">
        <f t="shared" si="2"/>
        <v>3.4307273744941254E-2</v>
      </c>
      <c r="D20" s="20">
        <f t="shared" si="3"/>
        <v>17.906623009677418</v>
      </c>
      <c r="E20" s="14">
        <v>19</v>
      </c>
      <c r="F20" s="21">
        <f t="shared" si="1"/>
        <v>2.9797829527087486E-2</v>
      </c>
    </row>
    <row r="21" spans="1:6" ht="15.6" customHeight="1" x14ac:dyDescent="0.25">
      <c r="A21" s="19">
        <v>1.0499999999999999E-3</v>
      </c>
      <c r="B21" s="20">
        <f t="shared" si="0"/>
        <v>22.117516337817925</v>
      </c>
      <c r="C21" s="20">
        <f t="shared" si="2"/>
        <v>3.5024259125887885E-2</v>
      </c>
      <c r="D21" s="20">
        <f t="shared" si="3"/>
        <v>19.466551085003342</v>
      </c>
      <c r="E21" s="14">
        <v>20</v>
      </c>
      <c r="F21" s="21">
        <f>IF(E21&lt;=4,0.24*E21^(-1),IF(E21&lt;=10,0.14*E21^(-0.64),IF(E21&lt;=20,0.04*E21^(-0.1),IF(E21&lt;=150,0.013*E21^(0.29),0.055))))</f>
        <v>2.9645377964277912E-2</v>
      </c>
    </row>
    <row r="22" spans="1:6" ht="15.6" customHeight="1" x14ac:dyDescent="0.25">
      <c r="A22" s="19">
        <v>1.1000000000000001E-3</v>
      </c>
      <c r="B22" s="20">
        <f t="shared" si="0"/>
        <v>23.170731401523547</v>
      </c>
      <c r="C22" s="20">
        <f t="shared" si="2"/>
        <v>3.5702399987719249E-2</v>
      </c>
      <c r="D22" s="20">
        <f t="shared" si="3"/>
        <v>21.074550479189504</v>
      </c>
      <c r="E22" s="14">
        <v>21</v>
      </c>
      <c r="F22" s="21">
        <f t="shared" si="1"/>
        <v>3.1433080718165606E-2</v>
      </c>
    </row>
    <row r="23" spans="1:6" ht="15.6" customHeight="1" x14ac:dyDescent="0.25">
      <c r="A23" s="19">
        <v>1.15E-3</v>
      </c>
      <c r="B23" s="20">
        <f t="shared" si="0"/>
        <v>24.223946465229165</v>
      </c>
      <c r="C23" s="20">
        <f t="shared" si="2"/>
        <v>3.6339373804538902E-2</v>
      </c>
      <c r="D23" s="20">
        <f t="shared" si="3"/>
        <v>22.727730276481687</v>
      </c>
      <c r="E23" s="14">
        <v>22</v>
      </c>
      <c r="F23" s="21">
        <f t="shared" si="1"/>
        <v>3.1860011611492087E-2</v>
      </c>
    </row>
    <row r="24" spans="1:6" ht="15.6" customHeight="1" x14ac:dyDescent="0.25">
      <c r="A24" s="19">
        <v>1.1999999999999999E-3</v>
      </c>
      <c r="B24" s="20">
        <f t="shared" si="0"/>
        <v>25.277161528934776</v>
      </c>
      <c r="C24" s="20">
        <f t="shared" si="2"/>
        <v>3.6935249243292272E-2</v>
      </c>
      <c r="D24" s="20">
        <f t="shared" si="3"/>
        <v>24.423785244598314</v>
      </c>
      <c r="E24" s="14">
        <v>23</v>
      </c>
      <c r="F24" s="21">
        <f t="shared" si="1"/>
        <v>3.2273378007324161E-2</v>
      </c>
    </row>
    <row r="25" spans="1:6" ht="15.6" customHeight="1" x14ac:dyDescent="0.25">
      <c r="A25" s="19">
        <v>1.25E-3</v>
      </c>
      <c r="B25" s="20">
        <f t="shared" si="0"/>
        <v>26.330376592640395</v>
      </c>
      <c r="C25" s="20">
        <f t="shared" si="2"/>
        <v>3.7491388141296302E-2</v>
      </c>
      <c r="D25" s="20">
        <f t="shared" si="3"/>
        <v>26.160820828468744</v>
      </c>
      <c r="E25" s="14">
        <v>24</v>
      </c>
      <c r="F25" s="21">
        <f t="shared" si="1"/>
        <v>3.267417361892682E-2</v>
      </c>
    </row>
    <row r="26" spans="1:6" ht="15.6" customHeight="1" x14ac:dyDescent="0.25">
      <c r="A26" s="19">
        <v>1.2999999999999999E-3</v>
      </c>
      <c r="B26" s="20">
        <f t="shared" si="0"/>
        <v>27.383591656346006</v>
      </c>
      <c r="C26" s="20">
        <f t="shared" si="2"/>
        <v>3.800977999273171E-2</v>
      </c>
      <c r="D26" s="20">
        <f>(B26^3*C26)^0.5</f>
        <v>27.93722676114654</v>
      </c>
      <c r="E26" s="14">
        <v>25</v>
      </c>
      <c r="F26" s="21">
        <f t="shared" si="1"/>
        <v>3.306328150936047E-2</v>
      </c>
    </row>
    <row r="27" spans="1:6" ht="15.6" customHeight="1" x14ac:dyDescent="0.25">
      <c r="A27" s="19">
        <v>1.3500000000000001E-3</v>
      </c>
      <c r="B27" s="20">
        <f t="shared" si="0"/>
        <v>28.436806720051631</v>
      </c>
      <c r="C27" s="20">
        <f t="shared" si="2"/>
        <v>3.8492661034685606E-2</v>
      </c>
      <c r="D27" s="20">
        <f t="shared" ref="D27:D90" si="4">(B27^3*C27)^0.5</f>
        <v>29.751591811849838</v>
      </c>
      <c r="E27" s="14">
        <v>26</v>
      </c>
      <c r="F27" s="21">
        <f t="shared" si="1"/>
        <v>3.344149029587859E-2</v>
      </c>
    </row>
    <row r="28" spans="1:6" ht="15.6" customHeight="1" x14ac:dyDescent="0.25">
      <c r="A28" s="19">
        <v>1.4E-3</v>
      </c>
      <c r="B28" s="20">
        <f t="shared" si="0"/>
        <v>29.490021783757243</v>
      </c>
      <c r="C28" s="20">
        <f t="shared" si="2"/>
        <v>3.8942309022973208E-2</v>
      </c>
      <c r="D28" s="20">
        <f t="shared" si="4"/>
        <v>31.602649130991132</v>
      </c>
      <c r="E28" s="14">
        <v>27</v>
      </c>
      <c r="F28" s="21">
        <f t="shared" si="1"/>
        <v>3.3809507455551877E-2</v>
      </c>
    </row>
    <row r="29" spans="1:6" ht="15.6" customHeight="1" x14ac:dyDescent="0.25">
      <c r="A29" s="19">
        <v>1.4499999999999999E-3</v>
      </c>
      <c r="B29" s="20">
        <f t="shared" si="0"/>
        <v>30.543236847462868</v>
      </c>
      <c r="C29" s="20">
        <f t="shared" si="2"/>
        <v>3.9360940294865351E-2</v>
      </c>
      <c r="D29" s="20">
        <f t="shared" si="4"/>
        <v>33.489242345424707</v>
      </c>
      <c r="E29" s="14">
        <v>28</v>
      </c>
      <c r="F29" s="21">
        <f t="shared" si="1"/>
        <v>3.4167970337855701E-2</v>
      </c>
    </row>
    <row r="30" spans="1:6" ht="15.6" customHeight="1" x14ac:dyDescent="0.25">
      <c r="A30" s="19">
        <v>1.5E-3</v>
      </c>
      <c r="B30" s="20">
        <f t="shared" si="0"/>
        <v>31.596451911168483</v>
      </c>
      <c r="C30" s="20">
        <f t="shared" si="2"/>
        <v>3.9750663154558802E-2</v>
      </c>
      <c r="D30" s="20">
        <f t="shared" si="4"/>
        <v>35.410304737206047</v>
      </c>
      <c r="E30" s="14">
        <v>29</v>
      </c>
      <c r="F30" s="21">
        <f t="shared" si="1"/>
        <v>3.4517455346445805E-2</v>
      </c>
    </row>
    <row r="31" spans="1:6" ht="15.6" customHeight="1" x14ac:dyDescent="0.25">
      <c r="A31" s="19">
        <v>1.5499999999999999E-3</v>
      </c>
      <c r="B31" s="20">
        <f t="shared" si="0"/>
        <v>32.64966697487408</v>
      </c>
      <c r="C31" s="20">
        <f t="shared" si="2"/>
        <v>4.0113460597293954E-2</v>
      </c>
      <c r="D31" s="20">
        <f t="shared" si="4"/>
        <v>37.364846195542093</v>
      </c>
      <c r="E31" s="14">
        <v>30</v>
      </c>
      <c r="F31" s="21">
        <f t="shared" si="1"/>
        <v>3.4858485646575274E-2</v>
      </c>
    </row>
    <row r="32" spans="1:6" ht="15.6" customHeight="1" x14ac:dyDescent="0.25">
      <c r="A32" s="19">
        <v>1.6000000000000001E-3</v>
      </c>
      <c r="B32" s="20">
        <f t="shared" si="0"/>
        <v>33.702882038579709</v>
      </c>
      <c r="C32" s="20">
        <f t="shared" si="2"/>
        <v>4.0451187434220506E-2</v>
      </c>
      <c r="D32" s="20">
        <f t="shared" si="4"/>
        <v>39.351944574974937</v>
      </c>
      <c r="E32" s="14">
        <v>31</v>
      </c>
      <c r="F32" s="21">
        <f t="shared" si="1"/>
        <v>3.5191537675731653E-2</v>
      </c>
    </row>
    <row r="33" spans="1:6" ht="15.6" customHeight="1" x14ac:dyDescent="0.25">
      <c r="A33" s="19">
        <v>1.65E-3</v>
      </c>
      <c r="B33" s="20">
        <f t="shared" si="0"/>
        <v>34.75609710228531</v>
      </c>
      <c r="C33" s="20">
        <f t="shared" si="2"/>
        <v>4.076557399206835E-2</v>
      </c>
      <c r="D33" s="20">
        <f t="shared" si="4"/>
        <v>41.370739474715208</v>
      </c>
      <c r="E33" s="14">
        <v>32</v>
      </c>
      <c r="F33" s="21">
        <f t="shared" si="1"/>
        <v>3.5517046675614283E-2</v>
      </c>
    </row>
    <row r="34" spans="1:6" ht="15.6" customHeight="1" x14ac:dyDescent="0.25">
      <c r="A34" s="19">
        <v>1.6999999999999999E-3</v>
      </c>
      <c r="B34" s="20">
        <f t="shared" si="0"/>
        <v>35.809312165990931</v>
      </c>
      <c r="C34" s="20">
        <f t="shared" si="2"/>
        <v>4.1058232500935224E-2</v>
      </c>
      <c r="D34" s="20">
        <f t="shared" si="4"/>
        <v>43.420427339483311</v>
      </c>
      <c r="E34" s="14">
        <v>33</v>
      </c>
      <c r="F34" s="21">
        <f t="shared" si="1"/>
        <v>3.5835411418296562E-2</v>
      </c>
    </row>
    <row r="35" spans="1:6" ht="15.6" customHeight="1" x14ac:dyDescent="0.25">
      <c r="A35" s="19">
        <v>1.75E-3</v>
      </c>
      <c r="B35" s="20">
        <f t="shared" si="0"/>
        <v>36.862527229696553</v>
      </c>
      <c r="C35" s="20">
        <f t="shared" si="2"/>
        <v>4.1330664342079104E-2</v>
      </c>
      <c r="D35" s="20">
        <f t="shared" si="4"/>
        <v>45.500257304568791</v>
      </c>
      <c r="E35" s="14">
        <v>34</v>
      </c>
      <c r="F35" s="21">
        <f t="shared" si="1"/>
        <v>3.6146998264617793E-2</v>
      </c>
    </row>
    <row r="36" spans="1:6" ht="15.6" customHeight="1" x14ac:dyDescent="0.25">
      <c r="A36" s="19">
        <v>1.8E-3</v>
      </c>
      <c r="B36" s="20">
        <f t="shared" si="0"/>
        <v>37.915742293402154</v>
      </c>
      <c r="C36" s="20">
        <f t="shared" si="2"/>
        <v>4.1584267346383978E-2</v>
      </c>
      <c r="D36" s="20">
        <f t="shared" si="4"/>
        <v>47.609527495089722</v>
      </c>
      <c r="E36" s="14">
        <v>35</v>
      </c>
      <c r="F36" s="21">
        <f t="shared" si="1"/>
        <v>3.6452144665866298E-2</v>
      </c>
    </row>
    <row r="37" spans="1:6" ht="15.6" customHeight="1" x14ac:dyDescent="0.25">
      <c r="A37" s="19">
        <v>1.8500000000000001E-3</v>
      </c>
      <c r="B37" s="20">
        <f t="shared" si="0"/>
        <v>38.96895735710779</v>
      </c>
      <c r="C37" s="20">
        <f t="shared" si="2"/>
        <v>4.182034281271145E-2</v>
      </c>
      <c r="D37" s="20">
        <f t="shared" si="4"/>
        <v>49.747581637918316</v>
      </c>
      <c r="E37" s="14">
        <v>36</v>
      </c>
      <c r="F37" s="21">
        <f t="shared" si="1"/>
        <v>3.6751162198721453E-2</v>
      </c>
    </row>
    <row r="38" spans="1:6" ht="15.6" customHeight="1" x14ac:dyDescent="0.25">
      <c r="A38" s="19">
        <v>1.9E-3</v>
      </c>
      <c r="B38" s="20">
        <f t="shared" si="0"/>
        <v>40.022172420813405</v>
      </c>
      <c r="C38" s="20">
        <f t="shared" si="2"/>
        <v>4.2040102128778935E-2</v>
      </c>
      <c r="D38" s="20">
        <f t="shared" si="4"/>
        <v>51.913805917326656</v>
      </c>
      <c r="E38" s="14">
        <v>37</v>
      </c>
      <c r="F38" s="21">
        <f t="shared" si="1"/>
        <v>3.7044339206805665E-2</v>
      </c>
    </row>
    <row r="39" spans="1:6" ht="15.6" customHeight="1" x14ac:dyDescent="0.25">
      <c r="A39" s="19">
        <v>1.9499999999999999E-3</v>
      </c>
      <c r="B39" s="20">
        <f t="shared" si="0"/>
        <v>41.075387484518998</v>
      </c>
      <c r="C39" s="20">
        <f t="shared" si="2"/>
        <v>4.2244672967309556E-2</v>
      </c>
      <c r="D39" s="20">
        <f t="shared" si="4"/>
        <v>54.107626039168601</v>
      </c>
      <c r="E39" s="14">
        <v>38</v>
      </c>
      <c r="F39" s="21">
        <f t="shared" si="1"/>
        <v>3.7331943109012937E-2</v>
      </c>
    </row>
    <row r="40" spans="1:6" ht="15.6" customHeight="1" x14ac:dyDescent="0.25">
      <c r="A40" s="19">
        <v>2E-3</v>
      </c>
      <c r="B40" s="20">
        <f t="shared" si="0"/>
        <v>42.12860254822462</v>
      </c>
      <c r="C40" s="20">
        <f t="shared" si="2"/>
        <v>4.2435105065798166E-2</v>
      </c>
      <c r="D40" s="20">
        <f t="shared" si="4"/>
        <v>56.32850448347051</v>
      </c>
      <c r="E40" s="14">
        <v>39</v>
      </c>
      <c r="F40" s="21">
        <f t="shared" si="1"/>
        <v>3.7614222424247806E-2</v>
      </c>
    </row>
    <row r="41" spans="1:6" ht="15.6" customHeight="1" x14ac:dyDescent="0.25">
      <c r="A41" s="19">
        <v>2.0500000000000002E-3</v>
      </c>
      <c r="B41" s="20">
        <f t="shared" si="0"/>
        <v>43.181817611930242</v>
      </c>
      <c r="C41" s="20">
        <f t="shared" si="2"/>
        <v>4.2612375610928607E-2</v>
      </c>
      <c r="D41" s="20">
        <f t="shared" si="4"/>
        <v>58.575937931841381</v>
      </c>
      <c r="E41" s="14">
        <v>40</v>
      </c>
      <c r="F41" s="21">
        <f t="shared" si="1"/>
        <v>3.7891408553741672E-2</v>
      </c>
    </row>
    <row r="42" spans="1:6" ht="15.6" customHeight="1" x14ac:dyDescent="0.25">
      <c r="A42" s="19">
        <v>2.0999999999999999E-3</v>
      </c>
      <c r="B42" s="20">
        <f t="shared" si="0"/>
        <v>44.235032675635857</v>
      </c>
      <c r="C42" s="20">
        <f t="shared" si="2"/>
        <v>4.2777394252226049E-2</v>
      </c>
      <c r="D42" s="20">
        <f t="shared" si="4"/>
        <v>60.849454858961877</v>
      </c>
      <c r="E42" s="14">
        <v>41</v>
      </c>
      <c r="F42" s="21">
        <f t="shared" si="1"/>
        <v>3.8163717355263985E-2</v>
      </c>
    </row>
    <row r="43" spans="1:6" ht="15.6" customHeight="1" x14ac:dyDescent="0.25">
      <c r="A43" s="19">
        <v>2.15E-3</v>
      </c>
      <c r="B43" s="20">
        <f t="shared" si="0"/>
        <v>45.288247739341465</v>
      </c>
      <c r="C43" s="20">
        <f t="shared" si="2"/>
        <v>4.2931007769636806E-2</v>
      </c>
      <c r="D43" s="20">
        <f t="shared" si="4"/>
        <v>63.148613278737066</v>
      </c>
      <c r="E43" s="14">
        <v>42</v>
      </c>
      <c r="F43" s="21">
        <f t="shared" si="1"/>
        <v>3.8431350537975195E-2</v>
      </c>
    </row>
    <row r="44" spans="1:6" ht="15.6" customHeight="1" x14ac:dyDescent="0.25">
      <c r="A44" s="19">
        <v>2.2000000000000001E-3</v>
      </c>
      <c r="B44" s="20">
        <f t="shared" si="0"/>
        <v>46.341462803047094</v>
      </c>
      <c r="C44" s="20">
        <f t="shared" si="2"/>
        <v>4.3074004418649114E-2</v>
      </c>
      <c r="D44" s="20">
        <f t="shared" si="4"/>
        <v>65.472998636421394</v>
      </c>
      <c r="E44" s="14">
        <v>43</v>
      </c>
      <c r="F44" s="21">
        <f t="shared" si="1"/>
        <v>3.8694496902111693E-2</v>
      </c>
    </row>
    <row r="45" spans="1:6" ht="15.6" customHeight="1" x14ac:dyDescent="0.25">
      <c r="A45" s="19">
        <v>2.2499999999999998E-3</v>
      </c>
      <c r="B45" s="20">
        <f t="shared" si="0"/>
        <v>47.394677866752716</v>
      </c>
      <c r="C45" s="20">
        <f t="shared" si="2"/>
        <v>4.3207117975145461E-2</v>
      </c>
      <c r="D45" s="20">
        <f t="shared" si="4"/>
        <v>67.822221838515986</v>
      </c>
      <c r="E45" s="14">
        <v>44</v>
      </c>
      <c r="F45" s="21">
        <f t="shared" si="1"/>
        <v>3.8953333443947205E-2</v>
      </c>
    </row>
    <row r="46" spans="1:6" ht="15.6" customHeight="1" x14ac:dyDescent="0.25">
      <c r="A46" s="19">
        <v>2.3E-3</v>
      </c>
      <c r="B46" s="20">
        <f t="shared" si="0"/>
        <v>48.447892930458316</v>
      </c>
      <c r="C46" s="20">
        <f t="shared" si="2"/>
        <v>4.3331031500710063E-2</v>
      </c>
      <c r="D46" s="20">
        <f t="shared" si="4"/>
        <v>70.19591741264054</v>
      </c>
      <c r="E46" s="14">
        <v>45</v>
      </c>
      <c r="F46" s="21">
        <f t="shared" si="1"/>
        <v>3.9208026343381122E-2</v>
      </c>
    </row>
    <row r="47" spans="1:6" ht="15.6" customHeight="1" x14ac:dyDescent="0.25">
      <c r="A47" s="19">
        <v>2.3500000000000001E-3</v>
      </c>
      <c r="B47" s="20">
        <f t="shared" si="0"/>
        <v>49.501107994163924</v>
      </c>
      <c r="C47" s="20">
        <f t="shared" si="2"/>
        <v>4.344638084770356E-2</v>
      </c>
      <c r="D47" s="20">
        <f t="shared" si="4"/>
        <v>72.593741789945653</v>
      </c>
      <c r="E47" s="14">
        <v>46</v>
      </c>
      <c r="F47" s="21">
        <f t="shared" si="1"/>
        <v>3.9458731848935905E-2</v>
      </c>
    </row>
    <row r="48" spans="1:6" ht="15.6" customHeight="1" x14ac:dyDescent="0.25">
      <c r="A48" s="19">
        <v>2.3999999999999998E-3</v>
      </c>
      <c r="B48" s="20">
        <f t="shared" si="0"/>
        <v>50.554323057869553</v>
      </c>
      <c r="C48" s="20">
        <f t="shared" si="2"/>
        <v>4.3553757922088272E-2</v>
      </c>
      <c r="D48" s="20">
        <f t="shared" si="4"/>
        <v>75.015371702977404</v>
      </c>
      <c r="E48" s="14">
        <v>47</v>
      </c>
      <c r="F48" s="21">
        <f t="shared" si="1"/>
        <v>3.9705597072805403E-2</v>
      </c>
    </row>
    <row r="49" spans="1:6" ht="15.6" customHeight="1" x14ac:dyDescent="0.25">
      <c r="A49" s="19">
        <v>2.4499999999999999E-3</v>
      </c>
      <c r="B49" s="20">
        <f t="shared" si="0"/>
        <v>51.607538121575175</v>
      </c>
      <c r="C49" s="20">
        <f t="shared" si="2"/>
        <v>4.3653713720746321E-2</v>
      </c>
      <c r="D49" s="20">
        <f t="shared" si="4"/>
        <v>77.460502692238066</v>
      </c>
      <c r="E49" s="14">
        <v>48</v>
      </c>
      <c r="F49" s="21">
        <f t="shared" si="1"/>
        <v>3.9948760706803553E-2</v>
      </c>
    </row>
    <row r="50" spans="1:6" ht="15.6" customHeight="1" x14ac:dyDescent="0.25">
      <c r="A50" s="19">
        <v>2.5000000000000001E-3</v>
      </c>
      <c r="B50" s="20">
        <f t="shared" si="0"/>
        <v>52.660753185280797</v>
      </c>
      <c r="C50" s="20">
        <f t="shared" si="2"/>
        <v>4.3746761158876102E-2</v>
      </c>
      <c r="D50" s="20">
        <f t="shared" si="4"/>
        <v>79.928847715008629</v>
      </c>
      <c r="E50" s="14">
        <v>49</v>
      </c>
      <c r="F50" s="21">
        <f t="shared" si="1"/>
        <v>4.0188353668557157E-2</v>
      </c>
    </row>
    <row r="51" spans="1:6" ht="15.6" customHeight="1" x14ac:dyDescent="0.25">
      <c r="A51" s="19">
        <v>2.5500000000000002E-3</v>
      </c>
      <c r="B51" s="20">
        <f t="shared" si="0"/>
        <v>53.713968248986411</v>
      </c>
      <c r="C51" s="20">
        <f t="shared" si="2"/>
        <v>4.3833377701975651E-2</v>
      </c>
      <c r="D51" s="20">
        <f t="shared" si="4"/>
        <v>82.420135850308654</v>
      </c>
      <c r="E51" s="14">
        <v>50</v>
      </c>
      <c r="F51" s="21">
        <f t="shared" si="1"/>
        <v>4.0424499686015511E-2</v>
      </c>
    </row>
    <row r="52" spans="1:6" ht="15.6" customHeight="1" x14ac:dyDescent="0.25">
      <c r="A52" s="19">
        <v>2.5999999999999999E-3</v>
      </c>
      <c r="B52" s="20">
        <f t="shared" si="0"/>
        <v>54.767183312691991</v>
      </c>
      <c r="C52" s="20">
        <f t="shared" si="2"/>
        <v>4.391400781591874E-2</v>
      </c>
      <c r="D52" s="20">
        <f t="shared" si="4"/>
        <v>84.934111094170376</v>
      </c>
      <c r="E52" s="14">
        <v>51</v>
      </c>
      <c r="F52" s="21">
        <f t="shared" si="1"/>
        <v>4.065731582727336E-2</v>
      </c>
    </row>
    <row r="53" spans="1:6" ht="15.6" customHeight="1" x14ac:dyDescent="0.25">
      <c r="A53" s="19">
        <v>2.65E-3</v>
      </c>
      <c r="B53" s="20">
        <f t="shared" si="0"/>
        <v>55.820398376397655</v>
      </c>
      <c r="C53" s="20">
        <f t="shared" si="2"/>
        <v>4.3989065247695983E-2</v>
      </c>
      <c r="D53" s="20">
        <f t="shared" si="4"/>
        <v>87.470531239695063</v>
      </c>
      <c r="E53" s="14">
        <v>52</v>
      </c>
      <c r="F53" s="21">
        <f t="shared" si="1"/>
        <v>4.0886912981789612E-2</v>
      </c>
    </row>
    <row r="54" spans="1:6" ht="15.6" customHeight="1" x14ac:dyDescent="0.25">
      <c r="A54" s="19">
        <v>2.7000000000000001E-3</v>
      </c>
      <c r="B54" s="20">
        <f t="shared" si="0"/>
        <v>56.873613440103242</v>
      </c>
      <c r="C54" s="20">
        <f t="shared" si="2"/>
        <v>4.4058935148524506E-2</v>
      </c>
      <c r="D54" s="20">
        <f t="shared" si="4"/>
        <v>90.029166836637216</v>
      </c>
      <c r="E54" s="14">
        <v>53</v>
      </c>
      <c r="F54" s="21">
        <f t="shared" si="1"/>
        <v>4.1113396298304149E-2</v>
      </c>
    </row>
    <row r="55" spans="1:6" ht="15.6" customHeight="1" x14ac:dyDescent="0.25">
      <c r="A55" s="19">
        <v>2.7499999999999998E-3</v>
      </c>
      <c r="B55" s="20">
        <f t="shared" si="0"/>
        <v>57.926828503808871</v>
      </c>
      <c r="C55" s="20">
        <f t="shared" si="2"/>
        <v>4.4123976050220629E-2</v>
      </c>
      <c r="D55" s="20">
        <f t="shared" si="4"/>
        <v>92.609800225538862</v>
      </c>
      <c r="E55" s="14">
        <v>54</v>
      </c>
      <c r="F55" s="21">
        <f t="shared" si="1"/>
        <v>4.1336865584088001E-2</v>
      </c>
    </row>
    <row r="56" spans="1:6" ht="15.6" customHeight="1" x14ac:dyDescent="0.25">
      <c r="A56" s="19">
        <v>2.8E-3</v>
      </c>
      <c r="B56" s="20">
        <f t="shared" si="0"/>
        <v>58.980043567514493</v>
      </c>
      <c r="C56" s="20">
        <f t="shared" si="2"/>
        <v>4.4184521704977275E-2</v>
      </c>
      <c r="D56" s="20">
        <f t="shared" si="4"/>
        <v>95.212224641687698</v>
      </c>
      <c r="E56" s="14">
        <v>55</v>
      </c>
      <c r="F56" s="21">
        <f t="shared" si="1"/>
        <v>4.1557415669590023E-2</v>
      </c>
    </row>
    <row r="57" spans="1:6" ht="15.6" customHeight="1" x14ac:dyDescent="0.25">
      <c r="A57" s="19">
        <v>2.8500000000000001E-3</v>
      </c>
      <c r="B57" s="20">
        <f t="shared" si="0"/>
        <v>60.033258631220093</v>
      </c>
      <c r="C57" s="20">
        <f t="shared" si="2"/>
        <v>4.4240882797986679E-2</v>
      </c>
      <c r="D57" s="20">
        <f t="shared" si="4"/>
        <v>97.836243384432905</v>
      </c>
      <c r="E57" s="14">
        <v>56</v>
      </c>
      <c r="F57" s="21">
        <f t="shared" si="1"/>
        <v>4.1775136742050259E-2</v>
      </c>
    </row>
    <row r="58" spans="1:6" ht="15.6" customHeight="1" x14ac:dyDescent="0.25">
      <c r="A58" s="19">
        <v>2.8999999999999998E-3</v>
      </c>
      <c r="B58" s="20">
        <f t="shared" si="0"/>
        <v>61.086473694925687</v>
      </c>
      <c r="C58" s="20">
        <f t="shared" si="2"/>
        <v>4.4293348541696649E-2</v>
      </c>
      <c r="D58" s="20">
        <f t="shared" si="4"/>
        <v>100.48166904762668</v>
      </c>
      <c r="E58" s="14">
        <v>57</v>
      </c>
      <c r="F58" s="21">
        <f t="shared" si="1"/>
        <v>4.1990114651225222E-2</v>
      </c>
    </row>
    <row r="59" spans="1:6" ht="15.6" customHeight="1" x14ac:dyDescent="0.25">
      <c r="A59" s="19">
        <v>2.9499999999999999E-3</v>
      </c>
      <c r="B59" s="20">
        <f t="shared" si="0"/>
        <v>62.13968875863133</v>
      </c>
      <c r="C59" s="20">
        <f t="shared" si="2"/>
        <v>4.4342188159881168E-2</v>
      </c>
      <c r="D59" s="20">
        <f t="shared" si="4"/>
        <v>103.14832280719412</v>
      </c>
      <c r="E59" s="14">
        <v>58</v>
      </c>
      <c r="F59" s="21">
        <f t="shared" si="1"/>
        <v>4.2202431190002075E-2</v>
      </c>
    </row>
    <row r="60" spans="1:6" ht="15.6" customHeight="1" x14ac:dyDescent="0.25">
      <c r="A60" s="19">
        <v>3.0000000000000001E-3</v>
      </c>
      <c r="B60" s="20">
        <f t="shared" si="0"/>
        <v>63.192903822336966</v>
      </c>
      <c r="C60" s="20">
        <f t="shared" si="2"/>
        <v>4.4387652269140626E-2</v>
      </c>
      <c r="D60" s="20">
        <f t="shared" si="4"/>
        <v>105.83603376205458</v>
      </c>
      <c r="E60" s="14">
        <v>59</v>
      </c>
      <c r="F60" s="21">
        <f t="shared" si="1"/>
        <v>4.241216435235929E-2</v>
      </c>
    </row>
    <row r="61" spans="1:6" ht="15.6" customHeight="1" x14ac:dyDescent="0.25">
      <c r="A61" s="19">
        <v>3.0500000000000002E-3</v>
      </c>
      <c r="B61" s="20">
        <f t="shared" si="0"/>
        <v>64.246118886042552</v>
      </c>
      <c r="C61" s="20">
        <f t="shared" si="2"/>
        <v>4.4429974164920942E-2</v>
      </c>
      <c r="D61" s="20">
        <f t="shared" si="4"/>
        <v>108.54463832483209</v>
      </c>
      <c r="E61" s="14">
        <v>60</v>
      </c>
      <c r="F61" s="21">
        <f t="shared" si="1"/>
        <v>4.2619388570853768E-2</v>
      </c>
    </row>
    <row r="62" spans="1:6" ht="15.6" customHeight="1" x14ac:dyDescent="0.25">
      <c r="A62" s="19">
        <v>3.0999999999999999E-3</v>
      </c>
      <c r="B62" s="20">
        <f t="shared" si="0"/>
        <v>65.299333949748174</v>
      </c>
      <c r="C62" s="20">
        <f t="shared" si="2"/>
        <v>4.4469371018650519E-2</v>
      </c>
      <c r="D62" s="20">
        <f t="shared" si="4"/>
        <v>111.27397965899371</v>
      </c>
      <c r="E62" s="14">
        <v>61</v>
      </c>
      <c r="F62" s="21">
        <f t="shared" si="1"/>
        <v>4.2824174935571516E-2</v>
      </c>
    </row>
    <row r="63" spans="1:6" ht="15.6" customHeight="1" x14ac:dyDescent="0.25">
      <c r="A63" s="19">
        <v>3.15E-3</v>
      </c>
      <c r="B63" s="20">
        <f t="shared" si="0"/>
        <v>66.352549013453768</v>
      </c>
      <c r="C63" s="20">
        <f t="shared" si="2"/>
        <v>4.4506044992138054E-2</v>
      </c>
      <c r="D63" s="20">
        <f t="shared" si="4"/>
        <v>114.02390715924919</v>
      </c>
      <c r="E63" s="14">
        <v>62</v>
      </c>
      <c r="F63" s="21">
        <f t="shared" si="1"/>
        <v>4.3026591396267432E-2</v>
      </c>
    </row>
    <row r="64" spans="1:6" ht="15.6" customHeight="1" x14ac:dyDescent="0.25">
      <c r="A64" s="19">
        <v>3.2000000000000002E-3</v>
      </c>
      <c r="B64" s="20">
        <f t="shared" si="0"/>
        <v>67.405764077159432</v>
      </c>
      <c r="C64" s="20">
        <f t="shared" si="2"/>
        <v>4.454018427494974E-2</v>
      </c>
      <c r="D64" s="20">
        <f t="shared" si="4"/>
        <v>116.79427597223427</v>
      </c>
      <c r="E64" s="14">
        <v>63</v>
      </c>
      <c r="F64" s="21">
        <f t="shared" si="1"/>
        <v>4.3226702949233975E-2</v>
      </c>
    </row>
    <row r="65" spans="1:6" ht="15.6" customHeight="1" x14ac:dyDescent="0.25">
      <c r="A65" s="19">
        <v>3.2499999999999999E-3</v>
      </c>
      <c r="B65" s="20">
        <f t="shared" si="0"/>
        <v>68.458979140865054</v>
      </c>
      <c r="C65" s="20">
        <f t="shared" si="2"/>
        <v>4.4571964050088966E-2</v>
      </c>
      <c r="D65" s="20">
        <f t="shared" si="4"/>
        <v>119.58494655467112</v>
      </c>
      <c r="E65" s="14">
        <v>64</v>
      </c>
      <c r="F65" s="21">
        <f t="shared" si="1"/>
        <v>4.3424571810275196E-2</v>
      </c>
    </row>
    <row r="66" spans="1:6" ht="15.6" customHeight="1" x14ac:dyDescent="0.25">
      <c r="A66" s="19">
        <v>3.3E-3</v>
      </c>
      <c r="B66" s="20">
        <f t="shared" si="0"/>
        <v>69.512194204570605</v>
      </c>
      <c r="C66" s="20">
        <f t="shared" si="2"/>
        <v>4.4601547392933955E-2</v>
      </c>
      <c r="D66" s="20">
        <f t="shared" si="4"/>
        <v>122.39578426637566</v>
      </c>
      <c r="E66" s="14">
        <v>65</v>
      </c>
      <c r="F66" s="21">
        <f t="shared" si="1"/>
        <v>4.3620257575019208E-2</v>
      </c>
    </row>
    <row r="67" spans="1:6" ht="15.6" customHeight="1" x14ac:dyDescent="0.25">
      <c r="A67" s="19">
        <v>3.3500000000000001E-3</v>
      </c>
      <c r="B67" s="20">
        <f t="shared" ref="B67:B130" si="5">(A67^3*($J$2-$J$3)*$J$4/($J$3*$J$5^2))^(1/3)</f>
        <v>70.565409268276284</v>
      </c>
      <c r="C67" s="20">
        <f t="shared" si="2"/>
        <v>4.4629086108046001E-2</v>
      </c>
      <c r="D67" s="20">
        <f t="shared" si="4"/>
        <v>125.22665899563533</v>
      </c>
      <c r="E67" s="14">
        <v>66</v>
      </c>
      <c r="F67" s="21">
        <f t="shared" ref="F67:F130" si="6">IF(E67&lt;=4,0.24*E67^(-1),IF(E67&lt;=10,0.14*E67^(-0.64),IF(E67&lt;=20,0.04*E67^(-0.1),IF(E67&lt;=150,0.013*E67^(0.29),0.055))))</f>
        <v>4.3813817367675617E-2</v>
      </c>
    </row>
    <row r="68" spans="1:6" ht="15.6" customHeight="1" x14ac:dyDescent="0.25">
      <c r="A68" s="19">
        <v>3.3999999999999998E-3</v>
      </c>
      <c r="B68" s="20">
        <f t="shared" si="5"/>
        <v>71.618624331981877</v>
      </c>
      <c r="C68" s="20">
        <f t="shared" ref="C68:C131" si="7">0.13*(B68^(-0.392))*EXP(-0.015*(B68^2))+0.045*(1-EXP(-0.068*B68))</f>
        <v>4.4654721508142481E-2</v>
      </c>
      <c r="D68" s="20">
        <f t="shared" si="4"/>
        <v>128.07744481463516</v>
      </c>
      <c r="E68" s="14">
        <v>67</v>
      </c>
      <c r="F68" s="21">
        <f t="shared" si="6"/>
        <v>4.4005305979232308E-2</v>
      </c>
    </row>
    <row r="69" spans="1:6" ht="15.6" customHeight="1" x14ac:dyDescent="0.25">
      <c r="A69" s="19">
        <v>3.4499999999999999E-3</v>
      </c>
      <c r="B69" s="20">
        <f t="shared" si="5"/>
        <v>72.671839395687485</v>
      </c>
      <c r="C69" s="20">
        <f t="shared" si="7"/>
        <v>4.4678585139231751E-2</v>
      </c>
      <c r="D69" s="20">
        <f t="shared" si="4"/>
        <v>130.94801966276165</v>
      </c>
      <c r="E69" s="14">
        <v>68</v>
      </c>
      <c r="F69" s="21">
        <f t="shared" si="6"/>
        <v>4.4194775995987021E-2</v>
      </c>
    </row>
    <row r="70" spans="1:6" ht="15.6" customHeight="1" x14ac:dyDescent="0.25">
      <c r="A70" s="19">
        <v>3.5000000000000001E-3</v>
      </c>
      <c r="B70" s="20">
        <f t="shared" si="5"/>
        <v>73.725054459393107</v>
      </c>
      <c r="C70" s="20">
        <f t="shared" si="7"/>
        <v>4.4700799455631011E-2</v>
      </c>
      <c r="D70" s="20">
        <f t="shared" si="4"/>
        <v>133.83826505573947</v>
      </c>
      <c r="E70" s="14">
        <v>69</v>
      </c>
      <c r="F70" s="21">
        <f t="shared" si="6"/>
        <v>4.4382277919221322E-2</v>
      </c>
    </row>
    <row r="71" spans="1:6" ht="15.6" customHeight="1" x14ac:dyDescent="0.25">
      <c r="A71" s="19">
        <v>3.5500000000000002E-3</v>
      </c>
      <c r="B71" s="20">
        <f t="shared" si="5"/>
        <v>74.7782695230987</v>
      </c>
      <c r="C71" s="20">
        <f t="shared" si="7"/>
        <v>4.472147844833084E-2</v>
      </c>
      <c r="D71" s="20">
        <f t="shared" si="4"/>
        <v>136.74806581869771</v>
      </c>
      <c r="E71" s="14">
        <v>70</v>
      </c>
      <c r="F71" s="21">
        <f t="shared" si="6"/>
        <v>4.4567860276746231E-2</v>
      </c>
    </row>
    <row r="72" spans="1:6" ht="15.6" customHeight="1" x14ac:dyDescent="0.25">
      <c r="A72" s="19">
        <v>3.5999999999999999E-3</v>
      </c>
      <c r="B72" s="20">
        <f t="shared" si="5"/>
        <v>75.831484586804322</v>
      </c>
      <c r="C72" s="20">
        <f t="shared" si="7"/>
        <v>4.4740728229930873E-2</v>
      </c>
      <c r="D72" s="20">
        <f t="shared" si="4"/>
        <v>139.67730984137978</v>
      </c>
      <c r="E72" s="14">
        <v>71</v>
      </c>
      <c r="F72" s="21">
        <f t="shared" si="6"/>
        <v>4.4751569726979315E-2</v>
      </c>
    </row>
    <row r="73" spans="1:6" ht="15.6" customHeight="1" x14ac:dyDescent="0.25">
      <c r="A73" s="19">
        <v>3.65E-3</v>
      </c>
      <c r="B73" s="20">
        <f t="shared" si="5"/>
        <v>76.884699650509916</v>
      </c>
      <c r="C73" s="20">
        <f t="shared" si="7"/>
        <v>4.4758647579148096E-2</v>
      </c>
      <c r="D73" s="20">
        <f t="shared" si="4"/>
        <v>142.62588785382871</v>
      </c>
      <c r="E73" s="14">
        <v>72</v>
      </c>
      <c r="F73" s="21">
        <f t="shared" si="6"/>
        <v>4.4933451156151043E-2</v>
      </c>
    </row>
    <row r="74" spans="1:6" ht="15.6" customHeight="1" x14ac:dyDescent="0.25">
      <c r="A74" s="19">
        <v>3.7000000000000002E-3</v>
      </c>
      <c r="B74" s="20">
        <f t="shared" si="5"/>
        <v>77.937914714215509</v>
      </c>
      <c r="C74" s="20">
        <f t="shared" si="7"/>
        <v>4.4775328447691998E-2</v>
      </c>
      <c r="D74" s="20">
        <f t="shared" si="4"/>
        <v>145.59369322099283</v>
      </c>
      <c r="E74" s="14">
        <v>73</v>
      </c>
      <c r="F74" s="21">
        <f t="shared" si="6"/>
        <v>4.5113547769182617E-2</v>
      </c>
    </row>
    <row r="75" spans="1:6" ht="15.6" customHeight="1" x14ac:dyDescent="0.25">
      <c r="A75" s="19">
        <v>3.7499999999999999E-3</v>
      </c>
      <c r="B75" s="20">
        <f t="shared" si="5"/>
        <v>78.991129777921131</v>
      </c>
      <c r="C75" s="20">
        <f t="shared" si="7"/>
        <v>4.4790856432107382E-2</v>
      </c>
      <c r="D75" s="20">
        <f t="shared" si="4"/>
        <v>148.58062175479665</v>
      </c>
      <c r="E75" s="14">
        <v>74</v>
      </c>
      <c r="F75" s="21">
        <f t="shared" si="6"/>
        <v>4.5291901174728075E-2</v>
      </c>
    </row>
    <row r="76" spans="1:6" ht="15.6" customHeight="1" x14ac:dyDescent="0.25">
      <c r="A76" s="19">
        <v>3.8E-3</v>
      </c>
      <c r="B76" s="20">
        <f t="shared" si="5"/>
        <v>80.044344841626781</v>
      </c>
      <c r="C76" s="20">
        <f t="shared" si="7"/>
        <v>4.4805311213006224E-2</v>
      </c>
      <c r="D76" s="20">
        <f t="shared" si="4"/>
        <v>151.58657154232424</v>
      </c>
      <c r="E76" s="14">
        <v>75</v>
      </c>
      <c r="F76" s="21">
        <f t="shared" si="6"/>
        <v>4.546855146482863E-2</v>
      </c>
    </row>
    <row r="77" spans="1:6" ht="15.6" customHeight="1" x14ac:dyDescent="0.25">
      <c r="A77" s="19">
        <v>3.8500000000000001E-3</v>
      </c>
      <c r="B77" s="20">
        <f t="shared" si="5"/>
        <v>81.097559905332417</v>
      </c>
      <c r="C77" s="20">
        <f t="shared" si="7"/>
        <v>4.4818766963942352E-2</v>
      </c>
      <c r="D77" s="20">
        <f t="shared" si="4"/>
        <v>154.6114427888524</v>
      </c>
      <c r="E77" s="14">
        <v>76</v>
      </c>
      <c r="F77" s="21">
        <f t="shared" si="6"/>
        <v>4.5643537289588081E-2</v>
      </c>
    </row>
    <row r="78" spans="1:6" ht="15.6" customHeight="1" x14ac:dyDescent="0.25">
      <c r="A78" s="19">
        <v>3.8999999999999998E-3</v>
      </c>
      <c r="B78" s="20">
        <f t="shared" si="5"/>
        <v>82.150774969038011</v>
      </c>
      <c r="C78" s="20">
        <f t="shared" si="7"/>
        <v>4.4831292732027128E-2</v>
      </c>
      <c r="D78" s="20">
        <f t="shared" si="4"/>
        <v>157.65513767456002</v>
      </c>
      <c r="E78" s="14">
        <v>77</v>
      </c>
      <c r="F78" s="21">
        <f t="shared" si="6"/>
        <v>4.5816895927240822E-2</v>
      </c>
    </row>
    <row r="79" spans="1:6" ht="15.6" customHeight="1" x14ac:dyDescent="0.25">
      <c r="A79" s="19">
        <v>3.9500000000000004E-3</v>
      </c>
      <c r="B79" s="20">
        <f t="shared" si="5"/>
        <v>83.203990032743619</v>
      </c>
      <c r="C79" s="20">
        <f t="shared" si="7"/>
        <v>4.4842952792239175E-2</v>
      </c>
      <c r="D79" s="20">
        <f t="shared" si="4"/>
        <v>160.71756022382064</v>
      </c>
      <c r="E79" s="14">
        <v>78</v>
      </c>
      <c r="F79" s="21">
        <f t="shared" si="6"/>
        <v>4.5988663349953572E-2</v>
      </c>
    </row>
    <row r="80" spans="1:6" ht="15.6" customHeight="1" x14ac:dyDescent="0.25">
      <c r="A80" s="19">
        <v>4.0000000000000001E-3</v>
      </c>
      <c r="B80" s="20">
        <f t="shared" si="5"/>
        <v>84.257205096449212</v>
      </c>
      <c r="C80" s="20">
        <f t="shared" si="7"/>
        <v>4.4853806977246308E-2</v>
      </c>
      <c r="D80" s="20">
        <f t="shared" si="4"/>
        <v>163.7986161860623</v>
      </c>
      <c r="E80" s="14">
        <v>79</v>
      </c>
      <c r="F80" s="21">
        <f t="shared" si="6"/>
        <v>4.615887428567101E-2</v>
      </c>
    </row>
    <row r="81" spans="1:6" ht="15.6" customHeight="1" x14ac:dyDescent="0.25">
      <c r="A81" s="19">
        <v>4.0499999999999998E-3</v>
      </c>
      <c r="B81" s="20">
        <f t="shared" si="5"/>
        <v>85.310420160154806</v>
      </c>
      <c r="C81" s="20">
        <f t="shared" si="7"/>
        <v>4.486391098443207E-2</v>
      </c>
      <c r="D81" s="20">
        <f t="shared" si="4"/>
        <v>166.89821292725381</v>
      </c>
      <c r="E81" s="14">
        <v>80</v>
      </c>
      <c r="F81" s="21">
        <f t="shared" si="6"/>
        <v>4.6327562276290341E-2</v>
      </c>
    </row>
    <row r="82" spans="1:6" ht="15.6" customHeight="1" x14ac:dyDescent="0.25">
      <c r="A82" s="19">
        <v>4.1000000000000003E-3</v>
      </c>
      <c r="B82" s="20">
        <f t="shared" si="5"/>
        <v>86.363635223860484</v>
      </c>
      <c r="C82" s="20">
        <f t="shared" si="7"/>
        <v>4.4873316661702453E-2</v>
      </c>
      <c r="D82" s="20">
        <f t="shared" si="4"/>
        <v>170.01625933114121</v>
      </c>
      <c r="E82" s="14">
        <v>81</v>
      </c>
      <c r="F82" s="21">
        <f t="shared" si="6"/>
        <v>4.64947597324257E-2</v>
      </c>
    </row>
    <row r="83" spans="1:6" ht="15.6" customHeight="1" x14ac:dyDescent="0.25">
      <c r="A83" s="19">
        <v>4.15E-3</v>
      </c>
      <c r="B83" s="20">
        <f t="shared" si="5"/>
        <v>87.41685028756612</v>
      </c>
      <c r="C83" s="20">
        <f t="shared" si="7"/>
        <v>4.4882072273539221E-2</v>
      </c>
      <c r="D83" s="20">
        <f t="shared" si="4"/>
        <v>173.15266570942273</v>
      </c>
      <c r="E83" s="14">
        <v>82</v>
      </c>
      <c r="F83" s="21">
        <f t="shared" si="6"/>
        <v>4.6660497985001576E-2</v>
      </c>
    </row>
    <row r="84" spans="1:6" ht="15.6" customHeight="1" x14ac:dyDescent="0.25">
      <c r="A84" s="19">
        <v>4.1999999999999997E-3</v>
      </c>
      <c r="B84" s="20">
        <f t="shared" si="5"/>
        <v>88.470065351271685</v>
      </c>
      <c r="C84" s="20">
        <f t="shared" si="7"/>
        <v>4.4890222748665304E-2</v>
      </c>
      <c r="D84" s="20">
        <f t="shared" si="4"/>
        <v>176.30734372011383</v>
      </c>
      <c r="E84" s="14">
        <v>83</v>
      </c>
      <c r="F84" s="21">
        <f t="shared" si="6"/>
        <v>4.6824807333895407E-2</v>
      </c>
    </row>
    <row r="85" spans="1:6" ht="15.6" customHeight="1" x14ac:dyDescent="0.25">
      <c r="A85" s="19">
        <v>4.2500000000000003E-3</v>
      </c>
      <c r="B85" s="20">
        <f t="shared" si="5"/>
        <v>89.523280414977336</v>
      </c>
      <c r="C85" s="20">
        <f t="shared" si="7"/>
        <v>4.4897809910592917E-2</v>
      </c>
      <c r="D85" s="20">
        <f t="shared" si="4"/>
        <v>179.48020629340414</v>
      </c>
      <c r="E85" s="14">
        <v>84</v>
      </c>
      <c r="F85" s="21">
        <f t="shared" si="6"/>
        <v>4.6987717093831212E-2</v>
      </c>
    </row>
    <row r="86" spans="1:6" ht="15.6" customHeight="1" x14ac:dyDescent="0.25">
      <c r="A86" s="19">
        <v>4.3E-3</v>
      </c>
      <c r="B86" s="20">
        <f t="shared" si="5"/>
        <v>90.576495478682901</v>
      </c>
      <c r="C86" s="20">
        <f t="shared" si="7"/>
        <v>4.4904872692237585E-2</v>
      </c>
      <c r="D86" s="20">
        <f t="shared" si="4"/>
        <v>182.67116756436192</v>
      </c>
      <c r="E86" s="14">
        <v>85</v>
      </c>
      <c r="F86" s="21">
        <f t="shared" si="6"/>
        <v>4.7149255637710684E-2</v>
      </c>
    </row>
    <row r="87" spans="1:6" ht="15.6" customHeight="1" x14ac:dyDescent="0.25">
      <c r="A87" s="19">
        <v>4.3499999999999997E-3</v>
      </c>
      <c r="B87" s="20">
        <f t="shared" si="5"/>
        <v>91.629710542388551</v>
      </c>
      <c r="C87" s="20">
        <f t="shared" si="7"/>
        <v>4.4911447335699288E-2</v>
      </c>
      <c r="D87" s="20">
        <f t="shared" si="4"/>
        <v>185.88014281189731</v>
      </c>
      <c r="E87" s="14">
        <v>86</v>
      </c>
      <c r="F87" s="21">
        <f t="shared" si="6"/>
        <v>4.7309450437552712E-2</v>
      </c>
    </row>
    <row r="88" spans="1:6" ht="15.6" customHeight="1" x14ac:dyDescent="0.25">
      <c r="A88" s="19">
        <v>4.4000000000000003E-3</v>
      </c>
      <c r="B88" s="20">
        <f t="shared" si="5"/>
        <v>92.682925606094201</v>
      </c>
      <c r="C88" s="20">
        <f t="shared" si="7"/>
        <v>4.4917567578235902E-2</v>
      </c>
      <c r="D88" s="20">
        <f t="shared" si="4"/>
        <v>189.10704840342743</v>
      </c>
      <c r="E88" s="14">
        <v>87</v>
      </c>
      <c r="F88" s="21">
        <f t="shared" si="6"/>
        <v>4.7468328103200223E-2</v>
      </c>
    </row>
    <row r="89" spans="1:6" ht="15.6" customHeight="1" x14ac:dyDescent="0.25">
      <c r="A89" s="19">
        <v>4.45E-3</v>
      </c>
      <c r="B89" s="20">
        <f t="shared" si="5"/>
        <v>93.736140669799767</v>
      </c>
      <c r="C89" s="20">
        <f t="shared" si="7"/>
        <v>4.4923264825383245E-2</v>
      </c>
      <c r="D89" s="20">
        <f t="shared" si="4"/>
        <v>192.35180174474365</v>
      </c>
      <c r="E89" s="14">
        <v>88</v>
      </c>
      <c r="F89" s="21">
        <f t="shared" si="6"/>
        <v>4.7625914418939361E-2</v>
      </c>
    </row>
    <row r="90" spans="1:6" ht="15.6" customHeight="1" x14ac:dyDescent="0.25">
      <c r="A90" s="19">
        <v>4.4999999999999997E-3</v>
      </c>
      <c r="B90" s="20">
        <f t="shared" si="5"/>
        <v>94.789355733505388</v>
      </c>
      <c r="C90" s="20">
        <f t="shared" si="7"/>
        <v>4.4928568312110069E-2</v>
      </c>
      <c r="D90" s="20">
        <f t="shared" si="4"/>
        <v>195.61432123461182</v>
      </c>
      <c r="E90" s="14">
        <v>89</v>
      </c>
      <c r="F90" s="21">
        <f t="shared" si="6"/>
        <v>4.7782234378166796E-2</v>
      </c>
    </row>
    <row r="91" spans="1:6" ht="15.6" customHeight="1" x14ac:dyDescent="0.25">
      <c r="A91" s="19">
        <v>4.5500000000000002E-3</v>
      </c>
      <c r="B91" s="20">
        <f t="shared" si="5"/>
        <v>95.842570797210982</v>
      </c>
      <c r="C91" s="20">
        <f t="shared" si="7"/>
        <v>4.4933505252834988E-2</v>
      </c>
      <c r="D91" s="20">
        <f t="shared" ref="D91:D154" si="8">(B91^3*C91)^0.5</f>
        <v>198.8945262236729</v>
      </c>
      <c r="E91" s="14">
        <v>90</v>
      </c>
      <c r="F91" s="21">
        <f t="shared" si="6"/>
        <v>4.7937312216229433E-2</v>
      </c>
    </row>
    <row r="92" spans="1:6" ht="15.6" customHeight="1" x14ac:dyDescent="0.25">
      <c r="A92" s="19">
        <v>4.5999999999999999E-3</v>
      </c>
      <c r="B92" s="20">
        <f t="shared" si="5"/>
        <v>96.895785860916646</v>
      </c>
      <c r="C92" s="20">
        <f t="shared" si="7"/>
        <v>4.4938100981075063E-2</v>
      </c>
      <c r="D92" s="20">
        <f t="shared" si="8"/>
        <v>202.19233697725343</v>
      </c>
      <c r="E92" s="14">
        <v>91</v>
      </c>
      <c r="F92" s="21">
        <f t="shared" si="6"/>
        <v>4.8091171441551998E-2</v>
      </c>
    </row>
    <row r="93" spans="1:6" ht="15.6" customHeight="1" x14ac:dyDescent="0.25">
      <c r="A93" s="19">
        <v>4.6499999999999996E-3</v>
      </c>
      <c r="B93" s="20">
        <f t="shared" si="5"/>
        <v>97.949000924622268</v>
      </c>
      <c r="C93" s="20">
        <f t="shared" si="7"/>
        <v>4.4942379079442749E-2</v>
      </c>
      <c r="D93" s="20">
        <f t="shared" si="8"/>
        <v>205.50767464171719</v>
      </c>
      <c r="E93" s="14">
        <v>92</v>
      </c>
      <c r="F93" s="21">
        <f t="shared" si="6"/>
        <v>4.8243834865159881E-2</v>
      </c>
    </row>
    <row r="94" spans="1:6" ht="15.6" customHeight="1" x14ac:dyDescent="0.25">
      <c r="A94" s="19">
        <v>4.7000000000000002E-3</v>
      </c>
      <c r="B94" s="20">
        <f t="shared" si="5"/>
        <v>99.002215988327848</v>
      </c>
      <c r="C94" s="20">
        <f t="shared" si="7"/>
        <v>4.4946361500658165E-2</v>
      </c>
      <c r="D94" s="20">
        <f t="shared" si="8"/>
        <v>208.84046121402793</v>
      </c>
      <c r="E94" s="14">
        <v>93</v>
      </c>
      <c r="F94" s="21">
        <f t="shared" si="6"/>
        <v>4.8395324628695974E-2</v>
      </c>
    </row>
    <row r="95" spans="1:6" ht="15.6" customHeight="1" x14ac:dyDescent="0.25">
      <c r="A95" s="19">
        <v>4.7499999999999999E-3</v>
      </c>
      <c r="B95" s="20">
        <f t="shared" si="5"/>
        <v>100.05543105203347</v>
      </c>
      <c r="C95" s="20">
        <f t="shared" si="7"/>
        <v>4.4950068680197762E-2</v>
      </c>
      <c r="D95" s="20">
        <f t="shared" si="8"/>
        <v>212.19061951421432</v>
      </c>
      <c r="E95" s="14">
        <v>94</v>
      </c>
      <c r="F95" s="21">
        <f t="shared" si="6"/>
        <v>4.8545662231024175E-2</v>
      </c>
    </row>
    <row r="96" spans="1:6" ht="15.6" customHeight="1" x14ac:dyDescent="0.25">
      <c r="A96" s="19">
        <v>4.7999999999999996E-3</v>
      </c>
      <c r="B96" s="20">
        <f t="shared" si="5"/>
        <v>101.10864611573908</v>
      </c>
      <c r="C96" s="20">
        <f t="shared" si="7"/>
        <v>4.4953519641157277E-2</v>
      </c>
      <c r="D96" s="20">
        <f t="shared" si="8"/>
        <v>215.55807316045556</v>
      </c>
      <c r="E96" s="14">
        <v>95</v>
      </c>
      <c r="F96" s="21">
        <f t="shared" si="6"/>
        <v>4.8694868553504599E-2</v>
      </c>
    </row>
    <row r="97" spans="1:6" ht="15.6" customHeight="1" x14ac:dyDescent="0.25">
      <c r="A97" s="19">
        <v>4.8500000000000001E-3</v>
      </c>
      <c r="B97" s="20">
        <f t="shared" si="5"/>
        <v>102.1618611794447</v>
      </c>
      <c r="C97" s="20">
        <f t="shared" si="7"/>
        <v>4.4956732091867291E-2</v>
      </c>
      <c r="D97" s="20">
        <f t="shared" si="8"/>
        <v>218.94274654653282</v>
      </c>
      <c r="E97" s="14">
        <v>96</v>
      </c>
      <c r="F97" s="21">
        <f t="shared" si="6"/>
        <v>4.8842963884020277E-2</v>
      </c>
    </row>
    <row r="98" spans="1:6" ht="15.6" customHeight="1" x14ac:dyDescent="0.25">
      <c r="A98" s="19">
        <v>4.8999999999999998E-3</v>
      </c>
      <c r="B98" s="20">
        <f t="shared" si="5"/>
        <v>103.21507624315036</v>
      </c>
      <c r="C98" s="20">
        <f t="shared" si="7"/>
        <v>4.4959722516762071E-2</v>
      </c>
      <c r="D98" s="20">
        <f t="shared" si="8"/>
        <v>222.34456482140831</v>
      </c>
      <c r="E98" s="14">
        <v>97</v>
      </c>
      <c r="F98" s="21">
        <f t="shared" si="6"/>
        <v>4.8989967939829397E-2</v>
      </c>
    </row>
    <row r="99" spans="1:6" ht="15.6" customHeight="1" x14ac:dyDescent="0.25">
      <c r="A99" s="19">
        <v>4.9500000000000004E-3</v>
      </c>
      <c r="B99" s="20">
        <f t="shared" si="5"/>
        <v>104.26829130685591</v>
      </c>
      <c r="C99" s="20">
        <f t="shared" si="7"/>
        <v>4.4962506260968156E-2</v>
      </c>
      <c r="D99" s="20">
        <f t="shared" si="8"/>
        <v>225.76345387071814</v>
      </c>
      <c r="E99" s="14">
        <v>98</v>
      </c>
      <c r="F99" s="21">
        <f t="shared" si="6"/>
        <v>4.9135899889311795E-2</v>
      </c>
    </row>
    <row r="100" spans="1:6" ht="15.6" customHeight="1" x14ac:dyDescent="0.25">
      <c r="A100" s="19">
        <v>5.0000000000000001E-3</v>
      </c>
      <c r="B100" s="20">
        <f t="shared" si="5"/>
        <v>105.32150637056159</v>
      </c>
      <c r="C100" s="20">
        <f t="shared" si="7"/>
        <v>4.4965097609046628E-2</v>
      </c>
      <c r="D100" s="20">
        <f t="shared" si="8"/>
        <v>229.19934029998399</v>
      </c>
      <c r="E100" s="14">
        <v>99</v>
      </c>
      <c r="F100" s="21">
        <f t="shared" si="6"/>
        <v>4.9280778372674042E-2</v>
      </c>
    </row>
    <row r="101" spans="1:6" ht="15.6" customHeight="1" x14ac:dyDescent="0.25">
      <c r="A101" s="19">
        <v>5.0499999999999998E-3</v>
      </c>
      <c r="B101" s="20">
        <f t="shared" si="5"/>
        <v>106.37472143426719</v>
      </c>
      <c r="C101" s="20">
        <f t="shared" si="7"/>
        <v>4.496750985829321E-2</v>
      </c>
      <c r="D101" s="20">
        <f t="shared" si="8"/>
        <v>232.65215141935835</v>
      </c>
      <c r="E101" s="14">
        <v>100</v>
      </c>
      <c r="F101" s="21">
        <f t="shared" si="6"/>
        <v>4.942462152167295E-2</v>
      </c>
    </row>
    <row r="102" spans="1:6" ht="15.6" customHeight="1" x14ac:dyDescent="0.25">
      <c r="A102" s="19">
        <v>5.1000000000000004E-3</v>
      </c>
      <c r="B102" s="20">
        <f t="shared" si="5"/>
        <v>107.42793649797284</v>
      </c>
      <c r="C102" s="20">
        <f t="shared" si="7"/>
        <v>4.4969755386972274E-2</v>
      </c>
      <c r="D102" s="20">
        <f t="shared" si="8"/>
        <v>236.1218152297499</v>
      </c>
      <c r="E102" s="14">
        <v>101</v>
      </c>
      <c r="F102" s="21">
        <f t="shared" si="6"/>
        <v>4.9567446978413227E-2</v>
      </c>
    </row>
    <row r="103" spans="1:6" ht="15.6" customHeight="1" x14ac:dyDescent="0.25">
      <c r="A103" s="19">
        <v>5.1500000000000001E-3</v>
      </c>
      <c r="B103" s="20">
        <f t="shared" si="5"/>
        <v>108.4811515616784</v>
      </c>
      <c r="C103" s="20">
        <f t="shared" si="7"/>
        <v>4.4971845717834899E-2</v>
      </c>
      <c r="D103" s="20">
        <f t="shared" si="8"/>
        <v>239.60826041017012</v>
      </c>
      <c r="E103" s="14">
        <v>102</v>
      </c>
      <c r="F103" s="21">
        <f t="shared" si="6"/>
        <v>4.9709271913271624E-2</v>
      </c>
    </row>
    <row r="104" spans="1:6" ht="15.6" customHeight="1" x14ac:dyDescent="0.25">
      <c r="A104" s="19">
        <v>5.1999999999999998E-3</v>
      </c>
      <c r="B104" s="20">
        <f t="shared" si="5"/>
        <v>109.534366625384</v>
      </c>
      <c r="C104" s="20">
        <f t="shared" si="7"/>
        <v>4.4973791577246985E-2</v>
      </c>
      <c r="D104" s="20">
        <f t="shared" si="8"/>
        <v>243.11141630617541</v>
      </c>
      <c r="E104" s="14">
        <v>103</v>
      </c>
      <c r="F104" s="21">
        <f t="shared" si="6"/>
        <v>4.9850113041996311E-2</v>
      </c>
    </row>
    <row r="105" spans="1:6" ht="15.6" customHeight="1" x14ac:dyDescent="0.25">
      <c r="A105" s="19">
        <v>5.2500000000000003E-3</v>
      </c>
      <c r="B105" s="20">
        <f t="shared" si="5"/>
        <v>110.58758168908969</v>
      </c>
      <c r="C105" s="20">
        <f t="shared" si="7"/>
        <v>4.4975602950230703E-2</v>
      </c>
      <c r="D105" s="20">
        <f t="shared" si="8"/>
        <v>246.63121291927487</v>
      </c>
      <c r="E105" s="14">
        <v>104</v>
      </c>
      <c r="F105" s="21">
        <f t="shared" si="6"/>
        <v>4.9989986642026696E-2</v>
      </c>
    </row>
    <row r="106" spans="1:6" ht="15.6" customHeight="1" x14ac:dyDescent="0.25">
      <c r="A106" s="19">
        <v>5.3E-3</v>
      </c>
      <c r="B106" s="20">
        <f t="shared" si="5"/>
        <v>111.64079675279523</v>
      </c>
      <c r="C106" s="20">
        <f t="shared" si="7"/>
        <v>4.4977289131701861E-2</v>
      </c>
      <c r="D106" s="20">
        <f t="shared" si="8"/>
        <v>250.16758089719659</v>
      </c>
      <c r="E106" s="14">
        <v>105</v>
      </c>
      <c r="F106" s="21">
        <f t="shared" si="6"/>
        <v>5.0128908568076967E-2</v>
      </c>
    </row>
    <row r="107" spans="1:6" ht="15.6" customHeight="1" x14ac:dyDescent="0.25">
      <c r="A107" s="19">
        <v>5.3499999999999997E-3</v>
      </c>
      <c r="B107" s="20">
        <f t="shared" si="5"/>
        <v>112.69401181650092</v>
      </c>
      <c r="C107" s="20">
        <f t="shared" si="7"/>
        <v>4.4978858774166033E-2</v>
      </c>
      <c r="D107" s="20">
        <f t="shared" si="8"/>
        <v>253.72045152491529</v>
      </c>
      <c r="E107" s="14">
        <v>106</v>
      </c>
      <c r="F107" s="21">
        <f t="shared" si="6"/>
        <v>5.0266894267022647E-2</v>
      </c>
    </row>
    <row r="108" spans="1:6" ht="15.6" customHeight="1" x14ac:dyDescent="0.25">
      <c r="A108" s="19">
        <v>5.4000000000000003E-3</v>
      </c>
      <c r="B108" s="20">
        <f t="shared" si="5"/>
        <v>113.7472268802065</v>
      </c>
      <c r="C108" s="20">
        <f t="shared" si="7"/>
        <v>4.4980319932118165E-2</v>
      </c>
      <c r="D108" s="20">
        <f t="shared" si="8"/>
        <v>257.28975671634038</v>
      </c>
      <c r="E108" s="14">
        <v>107</v>
      </c>
      <c r="F108" s="21">
        <f t="shared" si="6"/>
        <v>5.0403958792127973E-2</v>
      </c>
    </row>
    <row r="109" spans="1:6" ht="15.6" customHeight="1" x14ac:dyDescent="0.25">
      <c r="A109" s="19">
        <v>5.45E-3</v>
      </c>
      <c r="B109" s="20">
        <f t="shared" si="5"/>
        <v>114.80044194391206</v>
      </c>
      <c r="C109" s="20">
        <f t="shared" si="7"/>
        <v>4.4981680103373597E-2</v>
      </c>
      <c r="D109" s="20">
        <f t="shared" si="8"/>
        <v>260.87542900659611</v>
      </c>
      <c r="E109" s="14">
        <v>108</v>
      </c>
      <c r="F109" s="21">
        <f t="shared" si="6"/>
        <v>5.0540116816649071E-2</v>
      </c>
    </row>
    <row r="110" spans="1:6" ht="15.6" customHeight="1" x14ac:dyDescent="0.25">
      <c r="A110" s="19">
        <v>5.4999999999999997E-3</v>
      </c>
      <c r="B110" s="20">
        <f t="shared" si="5"/>
        <v>115.85365700761764</v>
      </c>
      <c r="C110" s="20">
        <f t="shared" si="7"/>
        <v>4.4982946267542512E-2</v>
      </c>
      <c r="D110" s="20">
        <f t="shared" si="8"/>
        <v>264.47740154480925</v>
      </c>
      <c r="E110" s="14">
        <v>109</v>
      </c>
      <c r="F110" s="21">
        <f t="shared" si="6"/>
        <v>5.0675382646845603E-2</v>
      </c>
    </row>
    <row r="111" spans="1:6" ht="15.6" customHeight="1" x14ac:dyDescent="0.25">
      <c r="A111" s="19">
        <v>5.5500000000000002E-3</v>
      </c>
      <c r="B111" s="20">
        <f t="shared" si="5"/>
        <v>116.90687207132329</v>
      </c>
      <c r="C111" s="20">
        <f t="shared" si="7"/>
        <v>4.4984124921845219E-2</v>
      </c>
      <c r="D111" s="20">
        <f t="shared" si="8"/>
        <v>268.09560808734398</v>
      </c>
      <c r="E111" s="14">
        <v>110</v>
      </c>
      <c r="F111" s="21">
        <f t="shared" si="6"/>
        <v>5.0809770234432262E-2</v>
      </c>
    </row>
    <row r="112" spans="1:6" ht="15.6" customHeight="1" x14ac:dyDescent="0.25">
      <c r="A112" s="19">
        <v>5.5999999999999999E-3</v>
      </c>
      <c r="B112" s="20">
        <f t="shared" si="5"/>
        <v>117.960087135029</v>
      </c>
      <c r="C112" s="20">
        <f t="shared" si="7"/>
        <v>4.4985222114452147E-2</v>
      </c>
      <c r="D112" s="20">
        <f t="shared" si="8"/>
        <v>271.7299829914225</v>
      </c>
      <c r="E112" s="14">
        <v>111</v>
      </c>
      <c r="F112" s="21">
        <f t="shared" si="6"/>
        <v>5.0943293188498544E-2</v>
      </c>
    </row>
    <row r="113" spans="1:6" ht="15.6" customHeight="1" x14ac:dyDescent="0.25">
      <c r="A113" s="19">
        <v>5.6499999999999996E-3</v>
      </c>
      <c r="B113" s="20">
        <f t="shared" si="5"/>
        <v>119.01330219873458</v>
      </c>
      <c r="C113" s="20">
        <f t="shared" si="7"/>
        <v>4.4986243475519549E-2</v>
      </c>
      <c r="D113" s="20">
        <f t="shared" si="8"/>
        <v>275.38046120907927</v>
      </c>
      <c r="E113" s="14">
        <v>112</v>
      </c>
      <c r="F113" s="21">
        <f t="shared" si="6"/>
        <v>5.1075964786924451E-2</v>
      </c>
    </row>
    <row r="114" spans="1:6" ht="15.6" customHeight="1" x14ac:dyDescent="0.25">
      <c r="A114" s="19">
        <v>5.7000000000000002E-3</v>
      </c>
      <c r="B114" s="20">
        <f t="shared" si="5"/>
        <v>120.06651726244019</v>
      </c>
      <c r="C114" s="20">
        <f t="shared" si="7"/>
        <v>4.4987194246080164E-2</v>
      </c>
      <c r="D114" s="20">
        <f t="shared" si="8"/>
        <v>279.04697828140297</v>
      </c>
      <c r="E114" s="14">
        <v>113</v>
      </c>
      <c r="F114" s="21">
        <f t="shared" si="6"/>
        <v>5.1207797987317602E-2</v>
      </c>
    </row>
    <row r="115" spans="1:6" ht="15.6" customHeight="1" x14ac:dyDescent="0.25">
      <c r="A115" s="19">
        <v>5.7499999999999999E-3</v>
      </c>
      <c r="B115" s="20">
        <f t="shared" si="5"/>
        <v>121.11973232614579</v>
      </c>
      <c r="C115" s="20">
        <f t="shared" si="7"/>
        <v>4.4988079304937201E-2</v>
      </c>
      <c r="D115" s="20">
        <f t="shared" si="8"/>
        <v>282.72947033301949</v>
      </c>
      <c r="E115" s="14">
        <v>114</v>
      </c>
      <c r="F115" s="21">
        <f t="shared" si="6"/>
        <v>5.1338805437495805E-2</v>
      </c>
    </row>
    <row r="116" spans="1:6" ht="15.6" customHeight="1" x14ac:dyDescent="0.25">
      <c r="A116" s="19">
        <v>5.7999999999999996E-3</v>
      </c>
      <c r="B116" s="20">
        <f t="shared" si="5"/>
        <v>122.17294738985137</v>
      </c>
      <c r="C116" s="20">
        <f t="shared" si="7"/>
        <v>4.4988903193699505E-2</v>
      </c>
      <c r="D116" s="20">
        <f t="shared" si="8"/>
        <v>286.42787406678315</v>
      </c>
      <c r="E116" s="14">
        <v>115</v>
      </c>
      <c r="F116" s="21">
        <f t="shared" si="6"/>
        <v>5.1468999485537979E-2</v>
      </c>
    </row>
    <row r="117" spans="1:6" ht="15.6" customHeight="1" x14ac:dyDescent="0.25">
      <c r="A117" s="19">
        <v>5.8500000000000002E-3</v>
      </c>
      <c r="B117" s="20">
        <f t="shared" si="5"/>
        <v>123.22616245355704</v>
      </c>
      <c r="C117" s="20">
        <f t="shared" si="7"/>
        <v>4.4989670140086459E-2</v>
      </c>
      <c r="D117" s="20">
        <f t="shared" si="8"/>
        <v>290.14212675864127</v>
      </c>
      <c r="E117" s="14">
        <v>116</v>
      </c>
      <c r="F117" s="21">
        <f t="shared" si="6"/>
        <v>5.1598392189424545E-2</v>
      </c>
    </row>
    <row r="118" spans="1:6" ht="15.6" customHeight="1" x14ac:dyDescent="0.25">
      <c r="A118" s="19">
        <v>5.8999999999999999E-3</v>
      </c>
      <c r="B118" s="20">
        <f t="shared" si="5"/>
        <v>124.27937751726267</v>
      </c>
      <c r="C118" s="20">
        <f t="shared" si="7"/>
        <v>4.4990384079622206E-2</v>
      </c>
      <c r="D118" s="20">
        <f t="shared" si="8"/>
        <v>293.87216625264165</v>
      </c>
      <c r="E118" s="14">
        <v>117</v>
      </c>
      <c r="F118" s="21">
        <f t="shared" si="6"/>
        <v>5.1726995326287696E-2</v>
      </c>
    </row>
    <row r="119" spans="1:6" ht="15.6" customHeight="1" x14ac:dyDescent="0.25">
      <c r="A119" s="19">
        <v>5.9500000000000004E-3</v>
      </c>
      <c r="B119" s="20">
        <f t="shared" si="5"/>
        <v>125.33259258096827</v>
      </c>
      <c r="C119" s="20">
        <f t="shared" si="7"/>
        <v>4.499104867583046E-2</v>
      </c>
      <c r="D119" s="20">
        <f t="shared" si="8"/>
        <v>297.61793095605998</v>
      </c>
      <c r="E119" s="14">
        <v>118</v>
      </c>
      <c r="F119" s="21">
        <f t="shared" si="6"/>
        <v>5.1854820401290226E-2</v>
      </c>
    </row>
    <row r="120" spans="1:6" ht="15.6" customHeight="1" x14ac:dyDescent="0.25">
      <c r="A120" s="19">
        <v>6.0000000000000001E-3</v>
      </c>
      <c r="B120" s="20">
        <f t="shared" si="5"/>
        <v>126.38580764467383</v>
      </c>
      <c r="C120" s="20">
        <f t="shared" si="7"/>
        <v>4.4991667339033585E-2</v>
      </c>
      <c r="D120" s="20">
        <f t="shared" si="8"/>
        <v>301.37935983462273</v>
      </c>
      <c r="E120" s="14">
        <v>119</v>
      </c>
      <c r="F120" s="21">
        <f t="shared" si="6"/>
        <v>5.1981878656151149E-2</v>
      </c>
    </row>
    <row r="121" spans="1:6" ht="15.6" customHeight="1" x14ac:dyDescent="0.25">
      <c r="A121" s="19">
        <v>6.0499999999999998E-3</v>
      </c>
      <c r="B121" s="20">
        <f t="shared" si="5"/>
        <v>127.43902270837951</v>
      </c>
      <c r="C121" s="20">
        <f t="shared" si="7"/>
        <v>4.4992243243852398E-2</v>
      </c>
      <c r="D121" s="20">
        <f t="shared" si="8"/>
        <v>305.15639240780644</v>
      </c>
      <c r="E121" s="14">
        <v>120</v>
      </c>
      <c r="F121" s="21">
        <f t="shared" si="6"/>
        <v>5.2108181077334823E-2</v>
      </c>
    </row>
    <row r="122" spans="1:6" ht="15.6" customHeight="1" x14ac:dyDescent="0.25">
      <c r="A122" s="19">
        <v>6.1000000000000004E-3</v>
      </c>
      <c r="B122" s="20">
        <f t="shared" si="5"/>
        <v>128.4922377720851</v>
      </c>
      <c r="C122" s="20">
        <f t="shared" si="7"/>
        <v>4.4992779345496496E-2</v>
      </c>
      <c r="D122" s="20">
        <f t="shared" si="8"/>
        <v>308.94896874419436</v>
      </c>
      <c r="E122" s="14">
        <v>121</v>
      </c>
      <c r="F122" s="21">
        <f t="shared" si="6"/>
        <v>5.2233738403919587E-2</v>
      </c>
    </row>
    <row r="123" spans="1:6" ht="15.6" customHeight="1" x14ac:dyDescent="0.25">
      <c r="A123" s="19">
        <v>6.1500000000000001E-3</v>
      </c>
      <c r="B123" s="20">
        <f t="shared" si="5"/>
        <v>129.54545283579077</v>
      </c>
      <c r="C123" s="20">
        <f t="shared" si="7"/>
        <v>4.499327839492865E-2</v>
      </c>
      <c r="D123" s="20">
        <f t="shared" si="8"/>
        <v>312.75702945688249</v>
      </c>
      <c r="E123" s="14">
        <v>122</v>
      </c>
      <c r="F123" s="21">
        <f t="shared" si="6"/>
        <v>5.235856113516088E-2</v>
      </c>
    </row>
    <row r="124" spans="1:6" ht="15.6" customHeight="1" x14ac:dyDescent="0.25">
      <c r="A124" s="19">
        <v>6.1999999999999998E-3</v>
      </c>
      <c r="B124" s="20">
        <f t="shared" si="5"/>
        <v>130.59866789949635</v>
      </c>
      <c r="C124" s="20">
        <f t="shared" si="7"/>
        <v>4.4993742952981156E-2</v>
      </c>
      <c r="D124" s="20">
        <f t="shared" si="8"/>
        <v>316.58051569891234</v>
      </c>
      <c r="E124" s="14">
        <v>123</v>
      </c>
      <c r="F124" s="21">
        <f t="shared" si="6"/>
        <v>5.2482659537763425E-2</v>
      </c>
    </row>
    <row r="125" spans="1:6" ht="15.6" customHeight="1" x14ac:dyDescent="0.25">
      <c r="A125" s="19">
        <v>6.2500000000000003E-3</v>
      </c>
      <c r="B125" s="20">
        <f t="shared" si="5"/>
        <v>131.65188296320198</v>
      </c>
      <c r="C125" s="20">
        <f t="shared" si="7"/>
        <v>4.4994175403496574E-2</v>
      </c>
      <c r="D125" s="20">
        <f t="shared" si="8"/>
        <v>320.41936915873038</v>
      </c>
      <c r="E125" s="14">
        <v>124</v>
      </c>
      <c r="F125" s="21">
        <f t="shared" si="6"/>
        <v>5.2606043652875585E-2</v>
      </c>
    </row>
    <row r="126" spans="1:6" ht="15.6" customHeight="1" x14ac:dyDescent="0.25">
      <c r="A126" s="19">
        <v>6.3E-3</v>
      </c>
      <c r="B126" s="20">
        <f t="shared" si="5"/>
        <v>132.70509802690756</v>
      </c>
      <c r="C126" s="20">
        <f t="shared" si="7"/>
        <v>4.4994577965560181E-2</v>
      </c>
      <c r="D126" s="20">
        <f t="shared" si="8"/>
        <v>324.27353205565612</v>
      </c>
      <c r="E126" s="14">
        <v>125</v>
      </c>
      <c r="F126" s="21">
        <f t="shared" si="6"/>
        <v>5.272872330281874E-2</v>
      </c>
    </row>
    <row r="127" spans="1:6" ht="15.6" customHeight="1" x14ac:dyDescent="0.25">
      <c r="A127" s="19">
        <v>6.3499999999999997E-3</v>
      </c>
      <c r="B127" s="20">
        <f t="shared" si="5"/>
        <v>133.75831309061317</v>
      </c>
      <c r="C127" s="20">
        <f t="shared" si="7"/>
        <v>4.4994952704887056E-2</v>
      </c>
      <c r="D127" s="20">
        <f t="shared" si="8"/>
        <v>328.14294713535872</v>
      </c>
      <c r="E127" s="14">
        <v>126</v>
      </c>
      <c r="F127" s="21">
        <f t="shared" si="6"/>
        <v>5.2850708097563988E-2</v>
      </c>
    </row>
    <row r="128" spans="1:6" ht="15.6" customHeight="1" x14ac:dyDescent="0.25">
      <c r="A128" s="19">
        <v>6.4000000000000003E-3</v>
      </c>
      <c r="B128" s="20">
        <f t="shared" si="5"/>
        <v>134.81152815431886</v>
      </c>
      <c r="C128" s="20">
        <f t="shared" si="7"/>
        <v>4.4995301544422141E-2</v>
      </c>
      <c r="D128" s="20">
        <f t="shared" si="8"/>
        <v>332.02755766533102</v>
      </c>
      <c r="E128" s="14">
        <v>127</v>
      </c>
      <c r="F128" s="21">
        <f t="shared" si="6"/>
        <v>5.2972007440967313E-2</v>
      </c>
    </row>
    <row r="129" spans="1:6" ht="15.6" customHeight="1" x14ac:dyDescent="0.25">
      <c r="A129" s="19">
        <v>6.45E-3</v>
      </c>
      <c r="B129" s="20">
        <f t="shared" si="5"/>
        <v>135.86474321802439</v>
      </c>
      <c r="C129" s="20">
        <f t="shared" si="7"/>
        <v>4.4995626274207647E-2</v>
      </c>
      <c r="D129" s="20">
        <f t="shared" si="8"/>
        <v>335.92730743035753</v>
      </c>
      <c r="E129" s="14">
        <v>128</v>
      </c>
      <c r="F129" s="21">
        <f t="shared" si="6"/>
        <v>5.3092630536774044E-2</v>
      </c>
    </row>
    <row r="130" spans="1:6" ht="15.6" customHeight="1" x14ac:dyDescent="0.25">
      <c r="A130" s="19">
        <v>6.4999999999999997E-3</v>
      </c>
      <c r="B130" s="20">
        <f t="shared" si="5"/>
        <v>136.91795828172999</v>
      </c>
      <c r="C130" s="20">
        <f t="shared" si="7"/>
        <v>4.4995928560568527E-2</v>
      </c>
      <c r="D130" s="20">
        <f t="shared" si="8"/>
        <v>339.84214072797732</v>
      </c>
      <c r="E130" s="14">
        <v>129</v>
      </c>
      <c r="F130" s="21">
        <f t="shared" si="6"/>
        <v>5.3212586394403204E-2</v>
      </c>
    </row>
    <row r="131" spans="1:6" ht="15.6" customHeight="1" x14ac:dyDescent="0.25">
      <c r="A131" s="19">
        <v>6.5500000000000003E-3</v>
      </c>
      <c r="B131" s="20">
        <f t="shared" ref="B131:B177" si="9">(A131^3*($J$2-$J$3)*$J$4/($J$3*$J$5^2))^(1/3)</f>
        <v>137.97117334543557</v>
      </c>
      <c r="C131" s="20">
        <f t="shared" si="7"/>
        <v>4.4996209954663108E-2</v>
      </c>
      <c r="D131" s="20">
        <f t="shared" si="8"/>
        <v>343.77200236392895</v>
      </c>
      <c r="E131" s="14">
        <v>130</v>
      </c>
      <c r="F131" s="21">
        <f t="shared" ref="F131:F194" si="10">IF(E131&lt;=4,0.24*E131^(-1),IF(E131&lt;=10,0.14*E131^(-0.64),IF(E131&lt;=20,0.04*E131^(-0.1),IF(E131&lt;=150,0.013*E131^(0.29),0.055))))</f>
        <v>5.3331883834521039E-2</v>
      </c>
    </row>
    <row r="132" spans="1:6" ht="15.6" customHeight="1" x14ac:dyDescent="0.25">
      <c r="A132" s="19">
        <v>6.6E-3</v>
      </c>
      <c r="B132" s="20">
        <f t="shared" si="9"/>
        <v>139.02438840914121</v>
      </c>
      <c r="C132" s="20">
        <f t="shared" ref="C132:C175" si="11">0.13*(B132^(-0.392))*EXP(-0.015*(B132^2))+0.045*(1-EXP(-0.068*B132))</f>
        <v>4.4996471900442717E-2</v>
      </c>
      <c r="D132" s="20">
        <f t="shared" si="8"/>
        <v>347.71683764758626</v>
      </c>
      <c r="E132" s="14">
        <v>131</v>
      </c>
      <c r="F132" s="21">
        <f t="shared" si="10"/>
        <v>5.3450531494413235E-2</v>
      </c>
    </row>
    <row r="133" spans="1:6" ht="15.6" customHeight="1" x14ac:dyDescent="0.25">
      <c r="A133" s="19">
        <v>6.6499999999999997E-3</v>
      </c>
      <c r="B133" s="20">
        <f t="shared" si="9"/>
        <v>140.07760347284685</v>
      </c>
      <c r="C133" s="20">
        <f t="shared" si="11"/>
        <v>4.4996715742061197E-2</v>
      </c>
      <c r="D133" s="20">
        <f t="shared" si="8"/>
        <v>351.67659238737571</v>
      </c>
      <c r="E133" s="14">
        <v>132</v>
      </c>
      <c r="F133" s="21">
        <f t="shared" si="10"/>
        <v>5.3568537833164488E-2</v>
      </c>
    </row>
    <row r="134" spans="1:6" ht="15.6" customHeight="1" x14ac:dyDescent="0.25">
      <c r="A134" s="19">
        <v>6.7000000000000002E-3</v>
      </c>
      <c r="B134" s="20">
        <f t="shared" si="9"/>
        <v>141.13081853655257</v>
      </c>
      <c r="C134" s="20">
        <f t="shared" si="11"/>
        <v>4.4996942730772344E-2</v>
      </c>
      <c r="D134" s="20">
        <f t="shared" si="8"/>
        <v>355.65121288618047</v>
      </c>
      <c r="E134" s="14">
        <v>133</v>
      </c>
      <c r="F134" s="21">
        <f t="shared" si="10"/>
        <v>5.3685911136653754E-2</v>
      </c>
    </row>
    <row r="135" spans="1:6" ht="15.6" customHeight="1" x14ac:dyDescent="0.25">
      <c r="A135" s="19">
        <v>6.7499999999999999E-3</v>
      </c>
      <c r="B135" s="20">
        <f t="shared" si="9"/>
        <v>142.18403360025812</v>
      </c>
      <c r="C135" s="20">
        <f t="shared" si="11"/>
        <v>4.49971540313506E-2</v>
      </c>
      <c r="D135" s="20">
        <f t="shared" si="8"/>
        <v>359.64064593672521</v>
      </c>
      <c r="E135" s="14">
        <v>134</v>
      </c>
      <c r="F135" s="21">
        <f t="shared" si="10"/>
        <v>5.3802659522373023E-2</v>
      </c>
    </row>
    <row r="136" spans="1:6" ht="15.6" customHeight="1" x14ac:dyDescent="0.25">
      <c r="A136" s="19">
        <v>6.7999999999999996E-3</v>
      </c>
      <c r="B136" s="20">
        <f t="shared" si="9"/>
        <v>143.23724866396364</v>
      </c>
      <c r="C136" s="20">
        <f t="shared" si="11"/>
        <v>4.4997350728068014E-2</v>
      </c>
      <c r="D136" s="20">
        <f t="shared" si="8"/>
        <v>363.64483881695026</v>
      </c>
      <c r="E136" s="14">
        <v>135</v>
      </c>
      <c r="F136" s="21">
        <f t="shared" si="10"/>
        <v>5.3918790944077248E-2</v>
      </c>
    </row>
    <row r="137" spans="1:6" ht="15.6" customHeight="1" x14ac:dyDescent="0.25">
      <c r="A137" s="19">
        <v>6.8500000000000002E-3</v>
      </c>
      <c r="B137" s="20">
        <f t="shared" si="9"/>
        <v>144.29046372766933</v>
      </c>
      <c r="C137" s="20">
        <f t="shared" si="11"/>
        <v>4.499753383025807E-2</v>
      </c>
      <c r="D137" s="20">
        <f t="shared" si="8"/>
        <v>367.66373928536694</v>
      </c>
      <c r="E137" s="14">
        <v>136</v>
      </c>
      <c r="F137" s="21">
        <f t="shared" si="10"/>
        <v>5.4034313196272332E-2</v>
      </c>
    </row>
    <row r="138" spans="1:6" ht="15.6" customHeight="1" x14ac:dyDescent="0.25">
      <c r="A138" s="19">
        <v>6.8999999999999999E-3</v>
      </c>
      <c r="B138" s="20">
        <f t="shared" si="9"/>
        <v>145.34367879137486</v>
      </c>
      <c r="C138" s="20">
        <f t="shared" si="11"/>
        <v>4.4997704277495054E-2</v>
      </c>
      <c r="D138" s="20">
        <f t="shared" si="8"/>
        <v>371.69729557639846</v>
      </c>
      <c r="E138" s="14">
        <v>137</v>
      </c>
      <c r="F138" s="21">
        <f t="shared" si="10"/>
        <v>5.4149233918548215E-2</v>
      </c>
    </row>
    <row r="139" spans="1:6" ht="15.6" customHeight="1" x14ac:dyDescent="0.25">
      <c r="A139" s="19">
        <v>6.9499999999999996E-3</v>
      </c>
      <c r="B139" s="20">
        <f t="shared" si="9"/>
        <v>146.39689385508052</v>
      </c>
      <c r="C139" s="20">
        <f t="shared" si="11"/>
        <v>4.499786294441533E-2</v>
      </c>
      <c r="D139" s="20">
        <f t="shared" si="8"/>
        <v>375.74545639571465</v>
      </c>
      <c r="E139" s="14">
        <v>138</v>
      </c>
      <c r="F139" s="21">
        <f t="shared" si="10"/>
        <v>5.4263560599763311E-2</v>
      </c>
    </row>
    <row r="140" spans="1:6" ht="15.6" customHeight="1" x14ac:dyDescent="0.25">
      <c r="A140" s="19">
        <v>7.0000000000000001E-3</v>
      </c>
      <c r="B140" s="20">
        <f t="shared" si="9"/>
        <v>147.4501089187861</v>
      </c>
      <c r="C140" s="20">
        <f t="shared" si="11"/>
        <v>4.499801064520554E-2</v>
      </c>
      <c r="D140" s="20">
        <f t="shared" si="8"/>
        <v>379.80817091554877</v>
      </c>
      <c r="E140" s="14">
        <v>139</v>
      </c>
      <c r="F140" s="21">
        <f t="shared" si="10"/>
        <v>5.4377300582086459E-2</v>
      </c>
    </row>
    <row r="141" spans="1:6" ht="15.6" customHeight="1" x14ac:dyDescent="0.25">
      <c r="A141" s="19">
        <v>7.0499999999999998E-3</v>
      </c>
      <c r="B141" s="20">
        <f t="shared" si="9"/>
        <v>148.50332398249182</v>
      </c>
      <c r="C141" s="20">
        <f t="shared" si="11"/>
        <v>4.499814813778049E-2</v>
      </c>
      <c r="D141" s="20">
        <f t="shared" si="8"/>
        <v>383.8853887700123</v>
      </c>
      <c r="E141" s="14">
        <v>140</v>
      </c>
      <c r="F141" s="21">
        <f t="shared" si="10"/>
        <v>5.4490461064902303E-2</v>
      </c>
    </row>
    <row r="142" spans="1:6" ht="15.6" customHeight="1" x14ac:dyDescent="0.25">
      <c r="A142" s="19">
        <v>7.1000000000000004E-3</v>
      </c>
      <c r="B142" s="20">
        <f t="shared" si="9"/>
        <v>149.55653904619743</v>
      </c>
      <c r="C142" s="20">
        <f t="shared" si="11"/>
        <v>4.4998276127672349E-2</v>
      </c>
      <c r="D142" s="20">
        <f t="shared" si="8"/>
        <v>387.9770600503972</v>
      </c>
      <c r="E142" s="14">
        <v>141</v>
      </c>
      <c r="F142" s="21">
        <f t="shared" si="10"/>
        <v>5.4603049108585676E-2</v>
      </c>
    </row>
    <row r="143" spans="1:6" ht="15.6" customHeight="1" x14ac:dyDescent="0.25">
      <c r="A143" s="19">
        <v>7.1500000000000001E-3</v>
      </c>
      <c r="B143" s="20">
        <f t="shared" si="9"/>
        <v>150.60975410990298</v>
      </c>
      <c r="C143" s="20">
        <f t="shared" si="11"/>
        <v>4.4998395271651032E-2</v>
      </c>
      <c r="D143" s="20">
        <f t="shared" si="8"/>
        <v>392.08313530047934</v>
      </c>
      <c r="E143" s="14">
        <v>142</v>
      </c>
      <c r="F143" s="21">
        <f t="shared" si="10"/>
        <v>5.471507163814996E-2</v>
      </c>
    </row>
    <row r="144" spans="1:6" ht="15.6" customHeight="1" x14ac:dyDescent="0.25">
      <c r="A144" s="19">
        <v>7.1999999999999998E-3</v>
      </c>
      <c r="B144" s="20">
        <f t="shared" si="9"/>
        <v>151.66296917360864</v>
      </c>
      <c r="C144" s="20">
        <f t="shared" si="11"/>
        <v>4.4998506181094335E-2</v>
      </c>
      <c r="D144" s="20">
        <f t="shared" si="8"/>
        <v>396.20356551181663</v>
      </c>
      <c r="E144" s="14">
        <v>143</v>
      </c>
      <c r="F144" s="21">
        <f t="shared" si="10"/>
        <v>5.482653544677512E-2</v>
      </c>
    </row>
    <row r="145" spans="1:6" ht="15.6" customHeight="1" x14ac:dyDescent="0.25">
      <c r="A145" s="19">
        <v>7.2500000000000004E-3</v>
      </c>
      <c r="B145" s="20">
        <f t="shared" si="9"/>
        <v>152.71618423731422</v>
      </c>
      <c r="C145" s="20">
        <f t="shared" si="11"/>
        <v>4.4998609425125222E-2</v>
      </c>
      <c r="D145" s="20">
        <f t="shared" si="8"/>
        <v>400.33830211904598</v>
      </c>
      <c r="E145" s="14">
        <v>144</v>
      </c>
      <c r="F145" s="21">
        <f t="shared" si="10"/>
        <v>5.4937447199219502E-2</v>
      </c>
    </row>
    <row r="146" spans="1:6" ht="15.6" customHeight="1" x14ac:dyDescent="0.25">
      <c r="A146" s="19">
        <v>7.3000000000000001E-3</v>
      </c>
      <c r="B146" s="20">
        <f t="shared" si="9"/>
        <v>153.76939930101986</v>
      </c>
      <c r="C146" s="20">
        <f t="shared" si="11"/>
        <v>4.4998705533532198E-2</v>
      </c>
      <c r="D146" s="20">
        <f t="shared" si="8"/>
        <v>404.48729699518697</v>
      </c>
      <c r="E146" s="14">
        <v>145</v>
      </c>
      <c r="F146" s="21">
        <f>IF(E146&lt;=4,0.24*E146^(-1),IF(E146&lt;=10,0.14*E146^(-0.64),IF(E146&lt;=20,0.04*E146^(-0.1),IF(E146&lt;=150,0.013*E146^(0.29),0.055))))</f>
        <v>5.5047813435120427E-2</v>
      </c>
    </row>
    <row r="147" spans="1:6" ht="15.6" customHeight="1" x14ac:dyDescent="0.25">
      <c r="A147" s="19">
        <v>7.3499999999999998E-3</v>
      </c>
      <c r="B147" s="20">
        <f t="shared" si="9"/>
        <v>154.82261436472544</v>
      </c>
      <c r="C147" s="20">
        <f t="shared" si="11"/>
        <v>4.4998794999487862E-2</v>
      </c>
      <c r="D147" s="20">
        <f t="shared" si="8"/>
        <v>408.65050244694578</v>
      </c>
      <c r="E147" s="14">
        <v>146</v>
      </c>
      <c r="F147" s="21">
        <f t="shared" si="10"/>
        <v>5.5157640572187833E-2</v>
      </c>
    </row>
    <row r="148" spans="1:6" ht="15.6" customHeight="1" x14ac:dyDescent="0.25">
      <c r="A148" s="19">
        <v>7.4000000000000003E-3</v>
      </c>
      <c r="B148" s="20">
        <f t="shared" si="9"/>
        <v>155.87582942843105</v>
      </c>
      <c r="C148" s="20">
        <f t="shared" si="11"/>
        <v>4.4998878282079637E-2</v>
      </c>
      <c r="D148" s="20">
        <f t="shared" si="8"/>
        <v>412.82787121002997</v>
      </c>
      <c r="E148" s="14">
        <v>147</v>
      </c>
      <c r="F148" s="21">
        <f t="shared" si="10"/>
        <v>5.5266934909295122E-2</v>
      </c>
    </row>
    <row r="149" spans="1:6" ht="15.6" customHeight="1" x14ac:dyDescent="0.25">
      <c r="A149" s="19">
        <v>7.45E-3</v>
      </c>
      <c r="B149" s="20">
        <f t="shared" si="9"/>
        <v>156.92904449213671</v>
      </c>
      <c r="C149" s="20">
        <f t="shared" si="11"/>
        <v>4.4998955808665468E-2</v>
      </c>
      <c r="D149" s="20">
        <f t="shared" si="8"/>
        <v>417.01935644446985</v>
      </c>
      <c r="E149" s="14">
        <v>148</v>
      </c>
      <c r="F149" s="21">
        <f t="shared" si="10"/>
        <v>5.5375702629471238E-2</v>
      </c>
    </row>
    <row r="150" spans="1:6" ht="15.6" customHeight="1" x14ac:dyDescent="0.25">
      <c r="A150" s="19">
        <v>7.4999999999999997E-3</v>
      </c>
      <c r="B150" s="20">
        <f t="shared" si="9"/>
        <v>157.98225955584229</v>
      </c>
      <c r="C150" s="20">
        <f t="shared" si="11"/>
        <v>4.4999027977066869E-2</v>
      </c>
      <c r="D150" s="20">
        <f t="shared" si="8"/>
        <v>421.22491172995268</v>
      </c>
      <c r="E150" s="14">
        <v>149</v>
      </c>
      <c r="F150" s="21">
        <f>IF(E150&lt;=4,0.24*E150^(-1),IF(E150&lt;=10,0.14*E150^(-0.64),IF(E150&lt;=20,0.04*E150^(-0.1),IF(E150&lt;=150,0.013*E150^(0.29),0.055))))</f>
        <v>5.5483949802797666E-2</v>
      </c>
    </row>
    <row r="151" spans="1:6" ht="15.6" customHeight="1" x14ac:dyDescent="0.25">
      <c r="A151" s="19">
        <v>7.5500000000000003E-3</v>
      </c>
      <c r="B151" s="20">
        <f t="shared" si="9"/>
        <v>159.03547461954793</v>
      </c>
      <c r="C151" s="20">
        <f t="shared" si="11"/>
        <v>4.4999095157610206E-2</v>
      </c>
      <c r="D151" s="20">
        <f t="shared" si="8"/>
        <v>425.44449106117241</v>
      </c>
      <c r="E151" s="14">
        <v>150</v>
      </c>
      <c r="F151" s="21">
        <f>IF(E151&lt;=4,0.24*E151^(-1),IF(E151&lt;=10,0.14*E151^(-0.64),IF(E151&lt;=20,0.04*E151^(-0.1),IF(E151&lt;=150,0.013*E151^(0.29),0.055))))</f>
        <v>5.5591682389214206E-2</v>
      </c>
    </row>
    <row r="152" spans="1:6" ht="15.6" customHeight="1" x14ac:dyDescent="0.25">
      <c r="A152" s="19">
        <v>7.6E-3</v>
      </c>
      <c r="B152" s="20">
        <f t="shared" si="9"/>
        <v>160.08868968325356</v>
      </c>
      <c r="C152" s="20">
        <f t="shared" si="11"/>
        <v>4.4999157695027082E-2</v>
      </c>
      <c r="D152" s="20">
        <f t="shared" si="8"/>
        <v>429.67804884319224</v>
      </c>
      <c r="E152" s="14">
        <v>151</v>
      </c>
      <c r="F152" s="21">
        <f t="shared" si="10"/>
        <v>5.5E-2</v>
      </c>
    </row>
    <row r="153" spans="1:6" ht="15.6" customHeight="1" x14ac:dyDescent="0.25">
      <c r="A153" s="19">
        <v>7.6499999999999997E-3</v>
      </c>
      <c r="B153" s="20">
        <f t="shared" si="9"/>
        <v>161.14190474695914</v>
      </c>
      <c r="C153" s="20">
        <f t="shared" si="11"/>
        <v>4.499921591022326E-2</v>
      </c>
      <c r="D153" s="20">
        <f t="shared" si="8"/>
        <v>433.92553988682823</v>
      </c>
      <c r="E153" s="14">
        <v>152</v>
      </c>
      <c r="F153" s="21">
        <f t="shared" si="10"/>
        <v>5.5E-2</v>
      </c>
    </row>
    <row r="154" spans="1:6" ht="15.6" customHeight="1" x14ac:dyDescent="0.25">
      <c r="A154" s="19">
        <v>7.7000000000000002E-3</v>
      </c>
      <c r="B154" s="20">
        <f t="shared" si="9"/>
        <v>162.19511981066483</v>
      </c>
      <c r="C154" s="20">
        <f t="shared" si="11"/>
        <v>4.4999270101925365E-2</v>
      </c>
      <c r="D154" s="20">
        <f t="shared" si="8"/>
        <v>438.18691940405319</v>
      </c>
      <c r="E154" s="14">
        <v>153</v>
      </c>
      <c r="F154" s="21">
        <f t="shared" si="10"/>
        <v>5.5E-2</v>
      </c>
    </row>
    <row r="155" spans="1:6" ht="15.6" customHeight="1" x14ac:dyDescent="0.25">
      <c r="A155" s="19">
        <v>7.7499999999999999E-3</v>
      </c>
      <c r="B155" s="20">
        <f t="shared" si="9"/>
        <v>163.24833487437041</v>
      </c>
      <c r="C155" s="20">
        <f t="shared" si="11"/>
        <v>4.4999320548213782E-2</v>
      </c>
      <c r="D155" s="20">
        <f t="shared" ref="D155:D177" si="12">(B155^3*C155)^0.5</f>
        <v>442.46214300341927</v>
      </c>
      <c r="E155" s="14">
        <v>154</v>
      </c>
      <c r="F155" s="21">
        <f t="shared" si="10"/>
        <v>5.5E-2</v>
      </c>
    </row>
    <row r="156" spans="1:6" ht="15.6" customHeight="1" x14ac:dyDescent="0.25">
      <c r="A156" s="19">
        <v>7.7999999999999996E-3</v>
      </c>
      <c r="B156" s="20">
        <f t="shared" si="9"/>
        <v>164.30154993807602</v>
      </c>
      <c r="C156" s="20">
        <f t="shared" si="11"/>
        <v>4.4999367507949625E-2</v>
      </c>
      <c r="D156" s="20">
        <f t="shared" si="12"/>
        <v>446.75116668551124</v>
      </c>
      <c r="E156" s="14">
        <v>155</v>
      </c>
      <c r="F156" s="21">
        <f t="shared" si="10"/>
        <v>5.5E-2</v>
      </c>
    </row>
    <row r="157" spans="1:6" ht="15.6" customHeight="1" x14ac:dyDescent="0.25">
      <c r="A157" s="19">
        <v>7.8499999999999993E-3</v>
      </c>
      <c r="B157" s="20">
        <f t="shared" si="9"/>
        <v>165.35476500178157</v>
      </c>
      <c r="C157" s="20">
        <f t="shared" si="11"/>
        <v>4.499941122210302E-2</v>
      </c>
      <c r="D157" s="20">
        <f t="shared" si="12"/>
        <v>451.05394683841888</v>
      </c>
      <c r="E157" s="14">
        <v>156</v>
      </c>
      <c r="F157" s="21">
        <f t="shared" si="10"/>
        <v>5.5E-2</v>
      </c>
    </row>
    <row r="158" spans="1:6" ht="15.6" customHeight="1" x14ac:dyDescent="0.25">
      <c r="A158" s="19">
        <v>7.9000000000000008E-3</v>
      </c>
      <c r="B158" s="20">
        <f t="shared" si="9"/>
        <v>166.40798006548727</v>
      </c>
      <c r="C158" s="20">
        <f t="shared" si="11"/>
        <v>4.4999451914989656E-2</v>
      </c>
      <c r="D158" s="20">
        <f t="shared" si="12"/>
        <v>455.37044023324319</v>
      </c>
      <c r="E158" s="14">
        <v>157</v>
      </c>
      <c r="F158" s="21">
        <f t="shared" si="10"/>
        <v>5.5E-2</v>
      </c>
    </row>
    <row r="159" spans="1:6" ht="15.6" customHeight="1" x14ac:dyDescent="0.25">
      <c r="A159" s="19">
        <v>7.9500000000000005E-3</v>
      </c>
      <c r="B159" s="20">
        <f t="shared" si="9"/>
        <v>167.46119512919287</v>
      </c>
      <c r="C159" s="20">
        <f t="shared" si="11"/>
        <v>4.4999489795421829E-2</v>
      </c>
      <c r="D159" s="20">
        <f t="shared" si="12"/>
        <v>459.70060401962542</v>
      </c>
      <c r="E159" s="14">
        <v>158</v>
      </c>
      <c r="F159" s="21">
        <f t="shared" si="10"/>
        <v>5.5E-2</v>
      </c>
    </row>
    <row r="160" spans="1:6" ht="15.6" customHeight="1" x14ac:dyDescent="0.25">
      <c r="A160" s="19">
        <v>8.0000000000000002E-3</v>
      </c>
      <c r="B160" s="20">
        <f t="shared" si="9"/>
        <v>168.51441019289842</v>
      </c>
      <c r="C160" s="20">
        <f t="shared" si="11"/>
        <v>4.4999525057779953E-2</v>
      </c>
      <c r="D160" s="20">
        <f t="shared" si="12"/>
        <v>464.04439572131412</v>
      </c>
      <c r="E160" s="14">
        <v>159</v>
      </c>
      <c r="F160" s="21">
        <f t="shared" si="10"/>
        <v>5.5E-2</v>
      </c>
    </row>
    <row r="161" spans="1:6" ht="15.6" customHeight="1" x14ac:dyDescent="0.25">
      <c r="A161" s="19">
        <v>8.0499999999999999E-3</v>
      </c>
      <c r="B161" s="20">
        <f t="shared" si="9"/>
        <v>169.56762525660412</v>
      </c>
      <c r="C161" s="20">
        <f t="shared" si="11"/>
        <v>4.4999557883010008E-2</v>
      </c>
      <c r="D161" s="20">
        <f t="shared" si="12"/>
        <v>468.40177323176056</v>
      </c>
      <c r="E161" s="14">
        <v>160</v>
      </c>
      <c r="F161" s="21">
        <f t="shared" si="10"/>
        <v>5.5E-2</v>
      </c>
    </row>
    <row r="162" spans="1:6" ht="15.6" customHeight="1" x14ac:dyDescent="0.25">
      <c r="A162" s="19">
        <v>8.0999999999999996E-3</v>
      </c>
      <c r="B162" s="20">
        <f t="shared" si="9"/>
        <v>170.62084032030964</v>
      </c>
      <c r="C162" s="20">
        <f t="shared" si="11"/>
        <v>4.4999588439552034E-2</v>
      </c>
      <c r="D162" s="20">
        <f t="shared" si="12"/>
        <v>472.77269480974576</v>
      </c>
      <c r="E162" s="14">
        <v>161</v>
      </c>
      <c r="F162" s="21">
        <f t="shared" si="10"/>
        <v>5.5E-2</v>
      </c>
    </row>
    <row r="163" spans="1:6" ht="15.6" customHeight="1" x14ac:dyDescent="0.25">
      <c r="A163" s="19">
        <v>8.1499999999999993E-3</v>
      </c>
      <c r="B163" s="20">
        <f t="shared" si="9"/>
        <v>171.67405538401533</v>
      </c>
      <c r="C163" s="20">
        <f t="shared" si="11"/>
        <v>4.4999616884204494E-2</v>
      </c>
      <c r="D163" s="20">
        <f t="shared" si="12"/>
        <v>477.15711907505005</v>
      </c>
      <c r="E163" s="14">
        <v>162</v>
      </c>
      <c r="F163" s="21">
        <f t="shared" si="10"/>
        <v>5.5E-2</v>
      </c>
    </row>
    <row r="164" spans="1:6" ht="15.6" customHeight="1" x14ac:dyDescent="0.25">
      <c r="A164" s="19">
        <v>8.2000000000000007E-3</v>
      </c>
      <c r="B164" s="20">
        <f t="shared" si="9"/>
        <v>172.727270447721</v>
      </c>
      <c r="C164" s="20">
        <f t="shared" si="11"/>
        <v>4.4999643362928839E-2</v>
      </c>
      <c r="D164" s="20">
        <f t="shared" si="12"/>
        <v>481.55500500414928</v>
      </c>
      <c r="E164" s="14">
        <v>163</v>
      </c>
      <c r="F164" s="21">
        <f t="shared" si="10"/>
        <v>5.5E-2</v>
      </c>
    </row>
    <row r="165" spans="1:6" ht="15.6" customHeight="1" x14ac:dyDescent="0.25">
      <c r="A165" s="19">
        <v>8.2500000000000004E-3</v>
      </c>
      <c r="B165" s="20">
        <f t="shared" si="9"/>
        <v>173.78048551142666</v>
      </c>
      <c r="C165" s="20">
        <f t="shared" si="11"/>
        <v>4.4999668011598534E-2</v>
      </c>
      <c r="D165" s="20">
        <f t="shared" si="12"/>
        <v>485.96631192595623</v>
      </c>
      <c r="E165" s="14">
        <v>164</v>
      </c>
      <c r="F165" s="21">
        <f t="shared" si="10"/>
        <v>5.5E-2</v>
      </c>
    </row>
    <row r="166" spans="1:6" ht="15.6" customHeight="1" x14ac:dyDescent="0.25">
      <c r="A166" s="19">
        <v>8.3000000000000001E-3</v>
      </c>
      <c r="B166" s="20">
        <f t="shared" si="9"/>
        <v>174.83370057513224</v>
      </c>
      <c r="C166" s="20">
        <f t="shared" si="11"/>
        <v>4.4999690956696259E-2</v>
      </c>
      <c r="D166" s="20">
        <f t="shared" si="12"/>
        <v>490.39099951759607</v>
      </c>
      <c r="E166" s="14">
        <v>165</v>
      </c>
      <c r="F166" s="21">
        <f t="shared" si="10"/>
        <v>5.5E-2</v>
      </c>
    </row>
    <row r="167" spans="1:6" ht="15.6" customHeight="1" x14ac:dyDescent="0.25">
      <c r="A167" s="19">
        <v>8.3499999999999998E-3</v>
      </c>
      <c r="B167" s="20">
        <f t="shared" si="9"/>
        <v>175.88691563883785</v>
      </c>
      <c r="C167" s="20">
        <f t="shared" si="11"/>
        <v>4.4999712315962954E-2</v>
      </c>
      <c r="D167" s="20">
        <f t="shared" si="12"/>
        <v>494.82902780022357</v>
      </c>
      <c r="E167" s="14">
        <v>166</v>
      </c>
      <c r="F167" s="21">
        <f t="shared" si="10"/>
        <v>5.5E-2</v>
      </c>
    </row>
    <row r="168" spans="1:6" ht="15.6" customHeight="1" x14ac:dyDescent="0.25">
      <c r="A168" s="19">
        <v>8.3999999999999995E-3</v>
      </c>
      <c r="B168" s="20">
        <f t="shared" si="9"/>
        <v>176.94013070254337</v>
      </c>
      <c r="C168" s="20">
        <f t="shared" si="11"/>
        <v>4.4999732199001989E-2</v>
      </c>
      <c r="D168" s="20">
        <f t="shared" si="12"/>
        <v>499.28035713487697</v>
      </c>
      <c r="E168" s="14">
        <v>167</v>
      </c>
      <c r="F168" s="21">
        <f t="shared" si="10"/>
        <v>5.5E-2</v>
      </c>
    </row>
    <row r="169" spans="1:6" ht="15.6" customHeight="1" x14ac:dyDescent="0.25">
      <c r="A169" s="19">
        <v>8.4499999999999992E-3</v>
      </c>
      <c r="B169" s="20">
        <f t="shared" si="9"/>
        <v>177.99334576624901</v>
      </c>
      <c r="C169" s="20">
        <f t="shared" si="11"/>
        <v>4.4999750707841582E-2</v>
      </c>
      <c r="D169" s="20">
        <f t="shared" si="12"/>
        <v>503.74494821837806</v>
      </c>
      <c r="E169" s="14">
        <v>168</v>
      </c>
      <c r="F169" s="21">
        <f t="shared" si="10"/>
        <v>5.5E-2</v>
      </c>
    </row>
    <row r="170" spans="1:6" ht="15.6" customHeight="1" x14ac:dyDescent="0.25">
      <c r="A170" s="19">
        <v>8.5000000000000006E-3</v>
      </c>
      <c r="B170" s="20">
        <f t="shared" si="9"/>
        <v>179.0465608299547</v>
      </c>
      <c r="C170" s="20">
        <f t="shared" si="11"/>
        <v>4.4999767937458378E-2</v>
      </c>
      <c r="D170" s="20">
        <f t="shared" si="12"/>
        <v>508.22276207926774</v>
      </c>
      <c r="E170" s="14">
        <v>169</v>
      </c>
      <c r="F170" s="21">
        <f t="shared" si="10"/>
        <v>5.5E-2</v>
      </c>
    </row>
    <row r="171" spans="1:6" ht="15.6" customHeight="1" x14ac:dyDescent="0.25">
      <c r="A171" s="19">
        <v>8.5500000000000003E-3</v>
      </c>
      <c r="B171" s="20">
        <f t="shared" si="9"/>
        <v>180.09977589366034</v>
      </c>
      <c r="C171" s="20">
        <f t="shared" si="11"/>
        <v>4.4999783976264765E-2</v>
      </c>
      <c r="D171" s="20">
        <f t="shared" si="12"/>
        <v>512.71376007378785</v>
      </c>
      <c r="E171" s="14">
        <v>170</v>
      </c>
      <c r="F171" s="21">
        <f t="shared" si="10"/>
        <v>5.5E-2</v>
      </c>
    </row>
    <row r="172" spans="1:6" ht="15.6" customHeight="1" x14ac:dyDescent="0.25">
      <c r="A172" s="19">
        <v>8.6E-3</v>
      </c>
      <c r="B172" s="20">
        <f t="shared" si="9"/>
        <v>181.1529909573658</v>
      </c>
      <c r="C172" s="20">
        <f t="shared" si="11"/>
        <v>4.4999798906562617E-2</v>
      </c>
      <c r="D172" s="20">
        <f t="shared" si="12"/>
        <v>517.21790388190493</v>
      </c>
      <c r="E172" s="14">
        <v>171</v>
      </c>
      <c r="F172" s="21">
        <f t="shared" si="10"/>
        <v>5.5E-2</v>
      </c>
    </row>
    <row r="173" spans="1:6" ht="15.6" customHeight="1" x14ac:dyDescent="0.25">
      <c r="A173" s="19">
        <v>8.6499999999999997E-3</v>
      </c>
      <c r="B173" s="20">
        <f t="shared" si="9"/>
        <v>182.20620602107138</v>
      </c>
      <c r="C173" s="20">
        <f t="shared" si="11"/>
        <v>4.4999812804965553E-2</v>
      </c>
      <c r="D173" s="20">
        <f t="shared" si="12"/>
        <v>521.73515550337891</v>
      </c>
      <c r="E173" s="14">
        <v>172</v>
      </c>
      <c r="F173" s="21">
        <f t="shared" si="10"/>
        <v>5.5E-2</v>
      </c>
    </row>
    <row r="174" spans="1:6" ht="15.6" customHeight="1" x14ac:dyDescent="0.25">
      <c r="A174" s="19">
        <v>8.6999999999999994E-3</v>
      </c>
      <c r="B174" s="20">
        <f t="shared" si="9"/>
        <v>183.2594210847771</v>
      </c>
      <c r="C174" s="20">
        <f t="shared" si="11"/>
        <v>4.4999825742792113E-2</v>
      </c>
      <c r="D174" s="20">
        <f t="shared" si="12"/>
        <v>526.26547725387081</v>
      </c>
      <c r="E174" s="14">
        <v>173</v>
      </c>
      <c r="F174" s="21">
        <f t="shared" si="10"/>
        <v>5.5E-2</v>
      </c>
    </row>
    <row r="175" spans="1:6" ht="15.6" customHeight="1" x14ac:dyDescent="0.25">
      <c r="A175" s="19">
        <v>8.7500000000000008E-3</v>
      </c>
      <c r="B175" s="20">
        <f t="shared" si="9"/>
        <v>184.3126361484828</v>
      </c>
      <c r="C175" s="20">
        <f t="shared" si="11"/>
        <v>4.4999837786431733E-2</v>
      </c>
      <c r="D175" s="20">
        <f t="shared" si="12"/>
        <v>530.80883176109717</v>
      </c>
      <c r="E175" s="14">
        <v>174</v>
      </c>
      <c r="F175" s="21">
        <f t="shared" si="10"/>
        <v>5.5E-2</v>
      </c>
    </row>
    <row r="176" spans="1:6" ht="15.6" customHeight="1" x14ac:dyDescent="0.25">
      <c r="A176" s="19">
        <v>8.8000000000000005E-3</v>
      </c>
      <c r="B176" s="20">
        <f t="shared" si="9"/>
        <v>185.3658512121884</v>
      </c>
      <c r="C176" s="20">
        <f>0.13*(B176^(-0.392))*EXP(-0.015*(B176^2))+0.045*(1-EXP(-0.068*B176))</f>
        <v>4.4999848997685374E-2</v>
      </c>
      <c r="D176" s="20">
        <f t="shared" si="12"/>
        <v>535.365181961031</v>
      </c>
      <c r="E176" s="14">
        <v>175</v>
      </c>
      <c r="F176" s="21">
        <f t="shared" si="10"/>
        <v>5.5E-2</v>
      </c>
    </row>
    <row r="177" spans="1:6" ht="15.6" customHeight="1" x14ac:dyDescent="0.25">
      <c r="A177" s="19">
        <v>1</v>
      </c>
      <c r="B177" s="20">
        <f t="shared" si="9"/>
        <v>21064.301274112331</v>
      </c>
      <c r="C177" s="20">
        <f>0.13*(B177^(-0.392))*EXP(-0.015*(B177^2))+0.045*(1-EXP(-0.068*B177))</f>
        <v>4.4999999999999998E-2</v>
      </c>
      <c r="D177" s="20">
        <f t="shared" si="12"/>
        <v>648525.18074613519</v>
      </c>
      <c r="E177" s="14">
        <v>176</v>
      </c>
      <c r="F177" s="21">
        <f t="shared" si="10"/>
        <v>5.5E-2</v>
      </c>
    </row>
    <row r="178" spans="1:6" ht="15.6" customHeight="1" x14ac:dyDescent="0.25">
      <c r="A178" s="19"/>
      <c r="B178" s="11"/>
      <c r="C178" s="11"/>
      <c r="D178" s="11"/>
      <c r="E178" s="14">
        <v>177</v>
      </c>
      <c r="F178" s="21">
        <f t="shared" si="10"/>
        <v>5.5E-2</v>
      </c>
    </row>
    <row r="179" spans="1:6" ht="15.6" customHeight="1" x14ac:dyDescent="0.25">
      <c r="A179" s="19"/>
      <c r="B179" s="11"/>
      <c r="C179" s="11"/>
      <c r="D179" s="11"/>
      <c r="E179" s="14">
        <v>178</v>
      </c>
      <c r="F179" s="21">
        <f t="shared" si="10"/>
        <v>5.5E-2</v>
      </c>
    </row>
    <row r="180" spans="1:6" ht="15.6" customHeight="1" x14ac:dyDescent="0.25">
      <c r="A180" s="19"/>
      <c r="B180" s="11"/>
      <c r="C180" s="11"/>
      <c r="D180" s="11"/>
      <c r="E180" s="14">
        <v>179</v>
      </c>
      <c r="F180" s="21">
        <f t="shared" si="10"/>
        <v>5.5E-2</v>
      </c>
    </row>
    <row r="181" spans="1:6" ht="15.6" customHeight="1" x14ac:dyDescent="0.25">
      <c r="A181" s="19"/>
      <c r="B181" s="11"/>
      <c r="C181" s="11"/>
      <c r="D181" s="11"/>
      <c r="E181" s="14">
        <v>180</v>
      </c>
      <c r="F181" s="21">
        <f t="shared" si="10"/>
        <v>5.5E-2</v>
      </c>
    </row>
    <row r="182" spans="1:6" ht="15.6" customHeight="1" x14ac:dyDescent="0.25">
      <c r="A182" s="19"/>
      <c r="B182" s="11"/>
      <c r="C182" s="11"/>
      <c r="D182" s="11"/>
      <c r="E182" s="14">
        <v>181</v>
      </c>
      <c r="F182" s="21">
        <f t="shared" si="10"/>
        <v>5.5E-2</v>
      </c>
    </row>
    <row r="183" spans="1:6" ht="15.6" customHeight="1" x14ac:dyDescent="0.25">
      <c r="A183" s="19"/>
      <c r="B183" s="11"/>
      <c r="C183" s="11"/>
      <c r="D183" s="11"/>
      <c r="E183" s="14">
        <v>182</v>
      </c>
      <c r="F183" s="21">
        <f t="shared" si="10"/>
        <v>5.5E-2</v>
      </c>
    </row>
    <row r="184" spans="1:6" ht="15.6" customHeight="1" x14ac:dyDescent="0.25">
      <c r="A184" s="19"/>
      <c r="B184" s="11"/>
      <c r="C184" s="11"/>
      <c r="D184" s="11"/>
      <c r="E184" s="14">
        <v>183</v>
      </c>
      <c r="F184" s="21">
        <f t="shared" si="10"/>
        <v>5.5E-2</v>
      </c>
    </row>
    <row r="185" spans="1:6" ht="15.6" customHeight="1" x14ac:dyDescent="0.25">
      <c r="A185" s="19"/>
      <c r="B185" s="11"/>
      <c r="C185" s="11"/>
      <c r="D185" s="11"/>
      <c r="E185" s="14">
        <v>184</v>
      </c>
      <c r="F185" s="21">
        <f t="shared" si="10"/>
        <v>5.5E-2</v>
      </c>
    </row>
    <row r="186" spans="1:6" ht="15.6" customHeight="1" x14ac:dyDescent="0.25">
      <c r="A186" s="19"/>
      <c r="B186" s="11"/>
      <c r="C186" s="11"/>
      <c r="D186" s="11"/>
      <c r="E186" s="14">
        <v>185</v>
      </c>
      <c r="F186" s="21">
        <f t="shared" si="10"/>
        <v>5.5E-2</v>
      </c>
    </row>
    <row r="187" spans="1:6" ht="15.6" customHeight="1" x14ac:dyDescent="0.25">
      <c r="A187" s="19"/>
      <c r="B187" s="11"/>
      <c r="C187" s="11"/>
      <c r="D187" s="11"/>
      <c r="E187" s="14">
        <v>186</v>
      </c>
      <c r="F187" s="21">
        <f t="shared" si="10"/>
        <v>5.5E-2</v>
      </c>
    </row>
    <row r="188" spans="1:6" ht="15.6" customHeight="1" x14ac:dyDescent="0.25">
      <c r="A188" s="19"/>
      <c r="B188" s="11"/>
      <c r="C188" s="11"/>
      <c r="D188" s="11"/>
      <c r="E188" s="14">
        <v>187</v>
      </c>
      <c r="F188" s="21">
        <f t="shared" si="10"/>
        <v>5.5E-2</v>
      </c>
    </row>
    <row r="189" spans="1:6" ht="15.6" customHeight="1" x14ac:dyDescent="0.25">
      <c r="A189" s="19"/>
      <c r="B189" s="11"/>
      <c r="C189" s="11"/>
      <c r="D189" s="11"/>
      <c r="E189" s="14">
        <v>188</v>
      </c>
      <c r="F189" s="21">
        <f t="shared" si="10"/>
        <v>5.5E-2</v>
      </c>
    </row>
    <row r="190" spans="1:6" ht="15.6" customHeight="1" x14ac:dyDescent="0.25">
      <c r="A190" s="19"/>
      <c r="B190" s="11"/>
      <c r="C190" s="11"/>
      <c r="D190" s="11"/>
      <c r="E190" s="14">
        <v>189</v>
      </c>
      <c r="F190" s="21">
        <f t="shared" si="10"/>
        <v>5.5E-2</v>
      </c>
    </row>
    <row r="191" spans="1:6" ht="15.6" customHeight="1" x14ac:dyDescent="0.25">
      <c r="A191" s="19"/>
      <c r="B191" s="11"/>
      <c r="C191" s="11"/>
      <c r="D191" s="11"/>
      <c r="E191" s="14">
        <v>190</v>
      </c>
      <c r="F191" s="21">
        <f t="shared" si="10"/>
        <v>5.5E-2</v>
      </c>
    </row>
    <row r="192" spans="1:6" ht="15.6" customHeight="1" x14ac:dyDescent="0.25">
      <c r="A192" s="19"/>
      <c r="B192" s="11"/>
      <c r="C192" s="11"/>
      <c r="D192" s="11"/>
      <c r="E192" s="14">
        <v>191</v>
      </c>
      <c r="F192" s="21">
        <f t="shared" si="10"/>
        <v>5.5E-2</v>
      </c>
    </row>
    <row r="193" spans="1:6" ht="15.6" customHeight="1" x14ac:dyDescent="0.25">
      <c r="A193" s="19"/>
      <c r="B193" s="11"/>
      <c r="C193" s="11"/>
      <c r="D193" s="11"/>
      <c r="E193" s="14">
        <v>192</v>
      </c>
      <c r="F193" s="21">
        <f t="shared" si="10"/>
        <v>5.5E-2</v>
      </c>
    </row>
    <row r="194" spans="1:6" ht="15.6" customHeight="1" x14ac:dyDescent="0.25">
      <c r="A194" s="19"/>
      <c r="B194" s="11"/>
      <c r="C194" s="11"/>
      <c r="D194" s="11"/>
      <c r="E194" s="14">
        <v>193</v>
      </c>
      <c r="F194" s="21">
        <f t="shared" si="10"/>
        <v>5.5E-2</v>
      </c>
    </row>
    <row r="195" spans="1:6" ht="15.6" customHeight="1" x14ac:dyDescent="0.25">
      <c r="A195" s="11"/>
      <c r="B195" s="11"/>
      <c r="C195" s="11"/>
      <c r="D195" s="11"/>
      <c r="E195" s="14">
        <v>194</v>
      </c>
      <c r="F195" s="21">
        <f t="shared" ref="F195:F203" si="13">IF(E195&lt;=4,0.24*E195^(-1),IF(E195&lt;=10,0.14*E195^(-0.64),IF(E195&lt;=20,0.04*E195^(-0.1),IF(E195&lt;=150,0.013*E195^(0.29),0.055))))</f>
        <v>5.5E-2</v>
      </c>
    </row>
    <row r="196" spans="1:6" ht="15.6" customHeight="1" x14ac:dyDescent="0.25">
      <c r="A196" s="11"/>
      <c r="B196" s="11"/>
      <c r="C196" s="11"/>
      <c r="D196" s="11"/>
      <c r="E196" s="14">
        <v>195</v>
      </c>
      <c r="F196" s="21">
        <f t="shared" si="13"/>
        <v>5.5E-2</v>
      </c>
    </row>
    <row r="197" spans="1:6" ht="15.6" customHeight="1" x14ac:dyDescent="0.25">
      <c r="A197" s="11"/>
      <c r="B197" s="11"/>
      <c r="C197" s="11"/>
      <c r="D197" s="11"/>
      <c r="E197" s="14">
        <v>196</v>
      </c>
      <c r="F197" s="21">
        <f t="shared" si="13"/>
        <v>5.5E-2</v>
      </c>
    </row>
    <row r="198" spans="1:6" ht="15.6" customHeight="1" x14ac:dyDescent="0.25">
      <c r="A198" s="11"/>
      <c r="B198" s="11"/>
      <c r="C198" s="11"/>
      <c r="D198" s="11"/>
      <c r="E198" s="14">
        <v>197</v>
      </c>
      <c r="F198" s="21">
        <f t="shared" si="13"/>
        <v>5.5E-2</v>
      </c>
    </row>
    <row r="199" spans="1:6" ht="15.6" customHeight="1" x14ac:dyDescent="0.25">
      <c r="A199" s="11"/>
      <c r="B199" s="11"/>
      <c r="C199" s="11"/>
      <c r="D199" s="11"/>
      <c r="E199" s="14">
        <v>198</v>
      </c>
      <c r="F199" s="21">
        <f t="shared" si="13"/>
        <v>5.5E-2</v>
      </c>
    </row>
    <row r="200" spans="1:6" ht="15.6" customHeight="1" x14ac:dyDescent="0.25">
      <c r="A200" s="11"/>
      <c r="B200" s="11"/>
      <c r="C200" s="11"/>
      <c r="D200" s="11"/>
      <c r="E200" s="14">
        <v>199</v>
      </c>
      <c r="F200" s="21">
        <f t="shared" si="13"/>
        <v>5.5E-2</v>
      </c>
    </row>
    <row r="201" spans="1:6" ht="15.6" customHeight="1" x14ac:dyDescent="0.25">
      <c r="A201" s="11"/>
      <c r="B201" s="11"/>
      <c r="C201" s="11"/>
      <c r="D201" s="11"/>
      <c r="E201" s="14">
        <v>200</v>
      </c>
      <c r="F201" s="21">
        <f t="shared" si="13"/>
        <v>5.5E-2</v>
      </c>
    </row>
    <row r="202" spans="1:6" ht="15.6" customHeight="1" x14ac:dyDescent="0.25">
      <c r="A202" s="11"/>
      <c r="B202" s="11"/>
      <c r="C202" s="11"/>
      <c r="D202" s="11"/>
      <c r="E202" s="14">
        <v>1000</v>
      </c>
      <c r="F202" s="21">
        <f t="shared" si="13"/>
        <v>5.5E-2</v>
      </c>
    </row>
    <row r="203" spans="1:6" ht="15.6" customHeight="1" x14ac:dyDescent="0.25">
      <c r="A203" s="11"/>
      <c r="B203" s="11"/>
      <c r="C203" s="11"/>
      <c r="D203" s="11"/>
      <c r="E203" s="14">
        <v>10000</v>
      </c>
      <c r="F203" s="21">
        <f t="shared" si="13"/>
        <v>5.5E-2</v>
      </c>
    </row>
  </sheetData>
  <mergeCells count="2">
    <mergeCell ref="H7:U7"/>
    <mergeCell ref="H8:U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Rhone18.846</vt:lpstr>
      <vt:lpstr>Rhone18.947</vt:lpstr>
      <vt:lpstr>Granulométrie</vt:lpstr>
      <vt:lpstr>Shields</vt:lpstr>
    </vt:vector>
  </TitlesOfParts>
  <Company>ATTENTION: hors EPFL = volé !!!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Dubois-Lazaro</dc:creator>
  <cp:lastModifiedBy>Romain Nathan Hippolyte Merlin Van Mol</cp:lastModifiedBy>
  <dcterms:created xsi:type="dcterms:W3CDTF">1996-09-24T14:01:40Z</dcterms:created>
  <dcterms:modified xsi:type="dcterms:W3CDTF">2023-09-25T12:48:08Z</dcterms:modified>
</cp:coreProperties>
</file>